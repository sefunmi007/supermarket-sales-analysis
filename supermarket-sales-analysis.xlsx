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75fb5eca5d45ff98/Desktop/"/>
    </mc:Choice>
  </mc:AlternateContent>
  <xr:revisionPtr revIDLastSave="1" documentId="8_{A006D507-58EC-400A-B26D-8464484F5D1D}" xr6:coauthVersionLast="47" xr6:coauthVersionMax="47" xr10:uidLastSave="{1662D6C5-AD1D-4610-944B-F90C012C7E35}"/>
  <bookViews>
    <workbookView xWindow="-110" yWindow="-110" windowWidth="19420" windowHeight="10300" xr2:uid="{E83395EF-005B-4106-A5B8-62EEDD6A4CB3}"/>
  </bookViews>
  <sheets>
    <sheet name="Source Data" sheetId="1" r:id="rId1"/>
    <sheet name="Analysis" sheetId="2" r:id="rId2"/>
    <sheet name="Management Summary" sheetId="10" r:id="rId3"/>
    <sheet name="Dashboard" sheetId="11" r:id="rId4"/>
    <sheet name="Business Insights" sheetId="13" r:id="rId5"/>
    <sheet name="Pivot-Branch" sheetId="3" r:id="rId6"/>
    <sheet name="Pivot-Customer" sheetId="5" r:id="rId7"/>
    <sheet name="Pivot-Product Line " sheetId="4" r:id="rId8"/>
    <sheet name="Pivot-Payment" sheetId="7" r:id="rId9"/>
    <sheet name="Pivot-Gender" sheetId="6" r:id="rId10"/>
  </sheets>
  <definedNames>
    <definedName name="_xlnm._FilterDatabase" localSheetId="0" hidden="1">'Source Data'!$A$1:$Q$1001</definedName>
    <definedName name="_xlcn.WorksheetConnection_inA1Q1001" hidden="1">'Source Data'!$A$1:$Q$1001</definedName>
    <definedName name="_xlnm.Print_Area" localSheetId="3">Dashboard!$A$1:$S$34</definedName>
  </definedNames>
  <calcPr calcId="191028"/>
  <pivotCaches>
    <pivotCache cacheId="0" r:id="rId11"/>
    <pivotCache cacheId="1" r:id="rId12"/>
    <pivotCache cacheId="2" r:id="rId13"/>
    <pivotCache cacheId="3" r:id="rId14"/>
    <pivotCache cacheId="4" r:id="rId15"/>
  </pivotCaches>
  <extLst>
    <ext xmlns:x15="http://schemas.microsoft.com/office/spreadsheetml/2010/11/main" uri="{FCE2AD5D-F65C-4FA6-A056-5C36A1767C68}">
      <x15:dataModel>
        <x15:modelTables>
          <x15:modelTable id="Range" name="Range" connection="WorksheetConnection_in!$A$1:$Q$100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1" l="1"/>
  <c r="N5" i="11"/>
  <c r="E5" i="11"/>
  <c r="B5" i="11"/>
  <c r="H5" i="11"/>
  <c r="B8" i="10"/>
  <c r="B7" i="10"/>
  <c r="B6" i="10"/>
  <c r="B5" i="10"/>
  <c r="B4" i="10"/>
  <c r="D30" i="2"/>
  <c r="D29" i="2"/>
  <c r="I25" i="2"/>
  <c r="I24" i="2"/>
  <c r="D25" i="2"/>
  <c r="D26" i="2"/>
  <c r="D24" i="2"/>
  <c r="B6" i="2"/>
  <c r="B5" i="2"/>
  <c r="B4" i="2"/>
  <c r="B3" i="2"/>
  <c r="B2" i="2"/>
  <c r="B16" i="10"/>
  <c r="B14" i="10"/>
  <c r="B15" i="10"/>
  <c r="J12" i="2"/>
  <c r="J11" i="2"/>
  <c r="I12" i="2"/>
  <c r="I11" i="2"/>
  <c r="I19" i="2"/>
  <c r="G16" i="2"/>
  <c r="H12" i="2"/>
  <c r="G19" i="2"/>
  <c r="B16" i="2"/>
  <c r="B12" i="2"/>
  <c r="F8" i="2"/>
  <c r="G7" i="2"/>
  <c r="D13" i="2"/>
  <c r="D12" i="2"/>
  <c r="D11" i="2"/>
  <c r="F15" i="2"/>
  <c r="G11" i="2"/>
  <c r="C17" i="2"/>
  <c r="B17" i="2"/>
  <c r="H17" i="2"/>
  <c r="G20" i="2"/>
  <c r="C16" i="2"/>
  <c r="H11" i="2"/>
  <c r="F19" i="2"/>
  <c r="H18" i="2"/>
  <c r="I16" i="2"/>
  <c r="G18" i="2"/>
  <c r="H15" i="2"/>
  <c r="H8" i="2"/>
  <c r="F7" i="2"/>
  <c r="F17" i="2"/>
  <c r="B13" i="2"/>
  <c r="F16" i="2"/>
  <c r="H19" i="2"/>
  <c r="G8" i="2"/>
  <c r="B18" i="2"/>
  <c r="H20" i="2"/>
  <c r="I18" i="2"/>
  <c r="G12" i="2"/>
  <c r="B11" i="2"/>
  <c r="I20" i="2"/>
  <c r="I17" i="2"/>
  <c r="F20" i="2"/>
  <c r="H16" i="2"/>
  <c r="G17" i="2"/>
  <c r="C18" i="2"/>
  <c r="H7" i="2"/>
  <c r="B8" i="2"/>
  <c r="F18" i="2"/>
  <c r="I15" i="2"/>
  <c r="G15" i="2"/>
  <c r="B10" i="10" l="1"/>
  <c r="Q5" i="11" s="1"/>
  <c r="B9" i="10"/>
  <c r="C14" i="10"/>
  <c r="C15" i="10"/>
  <c r="C16" i="10"/>
  <c r="J16" i="2"/>
  <c r="J17" i="2"/>
  <c r="J18" i="2"/>
  <c r="J19" i="2"/>
  <c r="J20" i="2"/>
  <c r="J15" i="2"/>
  <c r="B7" i="2"/>
  <c r="C11" i="2"/>
  <c r="C12" i="2"/>
  <c r="C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F48D8E-3B01-4A7B-A0B0-53E4AA5CA6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0FD016C-E553-4473-827E-D5441376B374}" name="WorksheetConnection_in!$A$1:$Q$1001" type="102" refreshedVersion="8" minRefreshableVersion="5">
    <extLst>
      <ext xmlns:x15="http://schemas.microsoft.com/office/spreadsheetml/2010/11/main" uri="{DE250136-89BD-433C-8126-D09CA5730AF9}">
        <x15:connection id="Range" autoDelete="1">
          <x15:rangePr sourceName="_xlcn.WorksheetConnection_inA1Q1001"/>
        </x15:connection>
      </ext>
    </extLst>
  </connection>
</connections>
</file>

<file path=xl/sharedStrings.xml><?xml version="1.0" encoding="utf-8"?>
<sst xmlns="http://schemas.openxmlformats.org/spreadsheetml/2006/main" count="7189" uniqueCount="1111">
  <si>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</si>
  <si>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</si>
  <si>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</si>
  <si>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</si>
  <si>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</si>
  <si>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</si>
  <si>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</si>
  <si>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</si>
  <si>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</si>
  <si>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</si>
  <si>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</si>
  <si>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</si>
  <si>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</si>
  <si>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</si>
  <si>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</si>
  <si>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</si>
  <si>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</si>
  <si>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</si>
  <si>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</si>
  <si>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</si>
  <si>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</si>
  <si>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</si>
  <si>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</si>
  <si>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</si>
  <si>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</si>
  <si>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</si>
  <si>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</si>
  <si>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</si>
  <si>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</si>
  <si>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</si>
  <si>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</si>
  <si>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</si>
  <si>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</si>
  <si>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</si>
  <si>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</si>
  <si>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</si>
  <si>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</si>
  <si>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</si>
  <si>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</si>
  <si>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</si>
  <si>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</si>
  <si>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</si>
  <si>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</si>
  <si>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</si>
  <si>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</si>
  <si>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</si>
  <si>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</si>
  <si>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</si>
  <si>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</si>
  <si>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</si>
  <si>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</si>
  <si>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</si>
  <si>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</si>
  <si>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</si>
  <si>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</si>
  <si>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</si>
  <si>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</si>
  <si>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</si>
  <si>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</si>
  <si>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</si>
  <si>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</si>
  <si>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</si>
  <si>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</si>
  <si>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</si>
  <si>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</si>
  <si>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</si>
  <si>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</si>
  <si>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</si>
  <si>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</si>
  <si>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</si>
  <si>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</si>
  <si>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</si>
  <si>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</si>
  <si>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</si>
  <si>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</si>
  <si>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</si>
  <si>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</si>
  <si>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</si>
  <si>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</si>
  <si>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</si>
  <si>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</si>
  <si>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</si>
  <si>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</si>
  <si>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</si>
  <si>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</si>
  <si>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</si>
  <si>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</si>
  <si>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</si>
  <si>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</si>
  <si>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</si>
  <si>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</si>
  <si>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</si>
  <si>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</si>
  <si>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</si>
  <si>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</si>
  <si>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</si>
  <si>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</si>
  <si>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</si>
  <si>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</si>
  <si>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</si>
  <si>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</si>
  <si>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</si>
  <si>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</si>
  <si>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</si>
  <si>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</si>
  <si>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</si>
  <si>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</si>
  <si>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</si>
  <si>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</si>
  <si>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</si>
  <si>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</si>
  <si>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</si>
  <si>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</si>
  <si>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</si>
  <si>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</si>
  <si>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</si>
  <si>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</si>
  <si>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</si>
  <si>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</si>
  <si>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</si>
  <si>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</si>
  <si>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</si>
  <si>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</si>
  <si>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</si>
  <si>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</si>
  <si>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</si>
  <si>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</si>
  <si>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</si>
  <si>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</si>
  <si>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</si>
  <si>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</si>
  <si>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</si>
  <si>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</si>
  <si>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</si>
  <si>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</si>
  <si>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</si>
  <si>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</si>
  <si>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</si>
  <si>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</si>
  <si>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</si>
  <si>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</si>
  <si>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</si>
  <si>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</si>
  <si>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</si>
  <si>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</si>
  <si>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</si>
  <si>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</si>
  <si>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</si>
  <si>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</si>
  <si>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</si>
  <si>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</si>
  <si>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</si>
  <si>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</si>
  <si>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</si>
  <si>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</si>
  <si>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</si>
  <si>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</si>
  <si>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</si>
  <si>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</si>
  <si>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</si>
  <si>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</si>
  <si>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</si>
  <si>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</si>
  <si>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</si>
  <si>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</si>
  <si>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</si>
  <si>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</si>
  <si>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</si>
  <si>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</si>
  <si>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</si>
  <si>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</si>
  <si>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</si>
  <si>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</si>
  <si>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</si>
  <si>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</si>
  <si>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</si>
  <si>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</si>
  <si>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</si>
  <si>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</si>
  <si>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</si>
  <si>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</si>
  <si>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</si>
  <si>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</si>
  <si>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</si>
  <si>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</si>
  <si>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</si>
  <si>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</si>
  <si>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</si>
  <si>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</si>
  <si>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</si>
  <si>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</si>
  <si>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</si>
  <si>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</si>
  <si>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</si>
  <si>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</si>
  <si>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</si>
  <si>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</si>
  <si>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</si>
  <si>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</si>
  <si>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</si>
  <si>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</si>
  <si>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</si>
  <si>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</si>
  <si>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</si>
  <si>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</si>
  <si>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</si>
  <si>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</si>
  <si>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</si>
  <si>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</si>
  <si>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</si>
  <si>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</si>
  <si>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</si>
  <si>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</si>
  <si>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</si>
  <si>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</si>
  <si>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</si>
  <si>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</si>
  <si>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</si>
  <si>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</si>
  <si>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</si>
  <si>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</si>
  <si>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</si>
  <si>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</si>
  <si>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</si>
  <si>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</si>
  <si>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</si>
  <si>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</si>
  <si>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</si>
  <si>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</si>
  <si>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</si>
  <si>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</si>
  <si>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</si>
  <si>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</si>
  <si>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</si>
  <si>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</si>
  <si>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</si>
  <si>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</si>
  <si>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</si>
  <si>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</si>
  <si>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</si>
  <si>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</si>
  <si>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</si>
  <si>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</si>
  <si>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</si>
  <si>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</si>
  <si>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</si>
  <si>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</si>
  <si>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</si>
  <si>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</si>
  <si>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</si>
  <si>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</si>
  <si>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</si>
  <si>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</si>
  <si>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</si>
  <si>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</si>
  <si>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</si>
  <si>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</si>
  <si>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</si>
  <si>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</si>
  <si>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</si>
  <si>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</si>
  <si>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</si>
  <si>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</si>
  <si>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</si>
  <si>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</si>
  <si>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</si>
  <si>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</si>
  <si>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</si>
  <si>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</si>
  <si>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</si>
  <si>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</si>
  <si>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</si>
  <si>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</si>
  <si>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</si>
  <si>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</si>
  <si>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</si>
  <si>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</si>
  <si>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</si>
  <si>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</si>
  <si>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</si>
  <si>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</si>
  <si>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</si>
  <si>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</si>
  <si>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</si>
  <si>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</si>
  <si>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</si>
  <si>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</si>
  <si>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</si>
  <si>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</si>
  <si>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</si>
  <si>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</si>
  <si>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</si>
  <si>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</si>
  <si>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</si>
  <si>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</si>
  <si>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</si>
  <si>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</si>
  <si>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</si>
  <si>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</si>
  <si>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</si>
  <si>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</si>
  <si>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</si>
  <si>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</si>
  <si>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</si>
  <si>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</si>
  <si>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</si>
  <si>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</si>
  <si>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</si>
  <si>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</si>
  <si>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</si>
  <si>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</si>
  <si>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</si>
  <si>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</si>
  <si>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</si>
  <si>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</si>
  <si>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</si>
  <si>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</si>
  <si>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</si>
  <si>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</si>
  <si>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</si>
  <si>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</si>
  <si>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</si>
  <si>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</si>
  <si>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</si>
  <si>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</si>
  <si>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</si>
  <si>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</si>
  <si>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</si>
  <si>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</si>
  <si>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</si>
  <si>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</si>
  <si>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</si>
  <si>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</si>
  <si>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</si>
  <si>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</si>
  <si>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</si>
  <si>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</si>
  <si>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</si>
  <si>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</si>
  <si>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</si>
  <si>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</si>
  <si>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</si>
  <si>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</si>
  <si>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</si>
  <si>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</si>
  <si>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</si>
  <si>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</si>
  <si>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</si>
  <si>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</si>
  <si>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</si>
  <si>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</si>
  <si>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</si>
  <si>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</si>
  <si>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</si>
  <si>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</si>
  <si>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</si>
  <si>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</si>
  <si>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</si>
  <si>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</si>
  <si>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</si>
  <si>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</si>
  <si>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</si>
  <si>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</si>
  <si>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</si>
  <si>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</si>
  <si>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</si>
  <si>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</si>
  <si>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</si>
  <si>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</si>
  <si>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</si>
  <si>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</si>
  <si>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</si>
  <si>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</si>
  <si>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</si>
  <si>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</si>
  <si>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</si>
  <si>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</si>
  <si>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</si>
  <si>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</si>
  <si>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</si>
  <si>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</si>
  <si>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</si>
  <si>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</si>
  <si>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</si>
  <si>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</si>
  <si>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</si>
  <si>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</si>
  <si>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</si>
  <si>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</si>
  <si>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</si>
  <si>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</si>
  <si>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</si>
  <si>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</si>
  <si>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</si>
  <si>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</si>
  <si>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</si>
  <si>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</si>
  <si>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</si>
  <si>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</si>
  <si>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</si>
  <si>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</si>
  <si>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</si>
  <si>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</si>
  <si>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</si>
  <si>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</si>
  <si>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</si>
  <si>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</si>
  <si>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</si>
  <si>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</si>
  <si>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</si>
  <si>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</si>
  <si>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</si>
  <si>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</si>
  <si>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</si>
  <si>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</si>
  <si>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</si>
  <si>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</si>
  <si>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</si>
  <si>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</si>
  <si>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</si>
  <si>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</si>
  <si>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</si>
  <si>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</si>
  <si>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</si>
  <si>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</si>
  <si>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</si>
  <si>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</si>
  <si>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</si>
  <si>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</si>
  <si>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</si>
  <si>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</si>
  <si>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</si>
  <si>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</si>
  <si>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</si>
  <si>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</si>
  <si>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</si>
  <si>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</si>
  <si>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</si>
  <si>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</si>
  <si>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</si>
  <si>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</si>
  <si>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</si>
  <si>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</si>
  <si>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</si>
  <si>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</si>
  <si>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</si>
  <si>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</si>
  <si>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</si>
  <si>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</si>
  <si>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</si>
  <si>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</si>
  <si>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</si>
  <si>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</si>
  <si>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</si>
  <si>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</si>
  <si>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</si>
  <si>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</si>
  <si>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</si>
  <si>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</si>
  <si>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</si>
  <si>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</si>
  <si>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</si>
  <si>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</si>
  <si>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</si>
  <si>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</si>
  <si>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</si>
  <si>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</si>
  <si>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</si>
  <si>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</si>
  <si>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</si>
  <si>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</si>
  <si>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</si>
  <si>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</si>
  <si>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</si>
  <si>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</si>
  <si>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</si>
  <si>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</si>
  <si>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</si>
  <si>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</si>
  <si>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</si>
  <si>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</si>
  <si>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</si>
  <si>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</si>
  <si>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</si>
  <si>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</si>
  <si>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</si>
  <si>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</si>
  <si>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</si>
  <si>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</si>
  <si>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</si>
  <si>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</si>
  <si>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</si>
  <si>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</si>
  <si>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</si>
  <si>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</si>
  <si>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</si>
  <si>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</si>
  <si>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</si>
  <si>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</si>
  <si>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</si>
  <si>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</si>
  <si>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</si>
  <si>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</si>
  <si>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</si>
  <si>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</si>
  <si>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</si>
  <si>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</si>
  <si>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</si>
  <si>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</si>
  <si>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</si>
  <si>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</si>
  <si>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</si>
  <si>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</si>
  <si>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</si>
  <si>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</si>
  <si>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</si>
  <si>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</si>
  <si>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</si>
  <si>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</si>
  <si>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</si>
  <si>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</si>
  <si>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</si>
  <si>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</si>
  <si>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</si>
  <si>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</si>
  <si>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</si>
  <si>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</si>
  <si>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</si>
  <si>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</si>
  <si>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</si>
  <si>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</si>
  <si>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</si>
  <si>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</si>
  <si>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</si>
  <si>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</si>
  <si>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</si>
  <si>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</si>
  <si>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</si>
  <si>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</si>
  <si>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</si>
  <si>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</si>
  <si>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</si>
  <si>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</si>
  <si>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</si>
  <si>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</si>
  <si>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</si>
  <si>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</si>
  <si>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</si>
  <si>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</si>
  <si>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</si>
  <si>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</si>
  <si>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</si>
  <si>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</si>
  <si>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</si>
  <si>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</si>
  <si>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</si>
  <si>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</si>
  <si>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</si>
  <si>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</si>
  <si>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</si>
  <si>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</si>
  <si>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</si>
  <si>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</si>
  <si>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</si>
  <si>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</si>
  <si>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</si>
  <si>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</si>
  <si>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</si>
  <si>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</si>
  <si>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</si>
  <si>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</si>
  <si>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</si>
  <si>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</si>
  <si>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</si>
  <si>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</si>
  <si>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</si>
  <si>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</si>
  <si>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</si>
  <si>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</si>
  <si>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</si>
  <si>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</si>
  <si>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</si>
  <si>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</si>
  <si>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</si>
  <si>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</si>
  <si>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</si>
  <si>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</si>
  <si>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</si>
  <si>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</si>
  <si>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</si>
  <si>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</si>
  <si>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</si>
  <si>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</si>
  <si>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</si>
  <si>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</si>
  <si>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</si>
  <si>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</si>
  <si>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</si>
  <si>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</si>
  <si>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</si>
  <si>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</si>
  <si>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</si>
  <si>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</si>
  <si>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</si>
  <si>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</si>
  <si>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</si>
  <si>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</si>
  <si>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</si>
  <si>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</si>
  <si>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</si>
  <si>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</si>
  <si>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</si>
  <si>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</si>
  <si>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</si>
  <si>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</si>
  <si>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</si>
  <si>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</si>
  <si>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</si>
  <si>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</si>
  <si>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</si>
  <si>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</si>
  <si>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</si>
  <si>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</si>
  <si>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</si>
  <si>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</si>
  <si>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</si>
  <si>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</si>
  <si>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</si>
  <si>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</si>
  <si>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</si>
  <si>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</si>
  <si>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</si>
  <si>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</si>
  <si>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</si>
  <si>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</si>
  <si>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</si>
  <si>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</si>
  <si>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</si>
  <si>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</si>
  <si>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</si>
  <si>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</si>
  <si>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</si>
  <si>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</si>
  <si>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</si>
  <si>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</si>
  <si>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</si>
  <si>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</si>
  <si>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</si>
  <si>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</si>
  <si>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</si>
  <si>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</si>
  <si>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</si>
  <si>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</si>
  <si>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</si>
  <si>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</si>
  <si>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</si>
  <si>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</si>
  <si>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</si>
  <si>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</si>
  <si>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</si>
  <si>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</si>
  <si>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</si>
  <si>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</si>
  <si>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</si>
  <si>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</si>
  <si>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</si>
  <si>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</si>
  <si>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</si>
  <si>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</si>
  <si>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</si>
  <si>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</si>
  <si>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</si>
  <si>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</si>
  <si>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</si>
  <si>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</si>
  <si>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</si>
  <si>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</si>
  <si>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</si>
  <si>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</si>
  <si>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</si>
  <si>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</si>
  <si>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</si>
  <si>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</si>
  <si>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</si>
  <si>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</si>
  <si>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</si>
  <si>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</si>
  <si>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</si>
  <si>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</si>
  <si>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</si>
  <si>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</si>
  <si>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</si>
  <si>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</si>
  <si>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</si>
  <si>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</si>
  <si>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</si>
  <si>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</si>
  <si>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</si>
  <si>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</si>
  <si>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</si>
  <si>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</si>
  <si>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</si>
  <si>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</si>
  <si>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</si>
  <si>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</si>
  <si>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</si>
  <si>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</si>
  <si>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</si>
  <si>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</si>
  <si>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</si>
  <si>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</si>
  <si>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</si>
  <si>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</si>
  <si>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</si>
  <si>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</si>
  <si>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</si>
  <si>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</si>
  <si>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</si>
  <si>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</si>
  <si>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</si>
  <si>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</si>
  <si>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</si>
  <si>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</si>
  <si>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</si>
  <si>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</si>
  <si>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</si>
  <si>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</si>
  <si>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</si>
  <si>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</si>
  <si>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</si>
  <si>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</si>
  <si>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</si>
  <si>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</si>
  <si>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</si>
  <si>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</si>
  <si>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</si>
  <si>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</si>
  <si>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</si>
  <si>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</si>
  <si>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</si>
  <si>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</si>
  <si>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</si>
  <si>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</si>
  <si>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</si>
  <si>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</si>
  <si>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</si>
  <si>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</si>
  <si>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</si>
  <si>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</si>
  <si>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</si>
  <si>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</si>
  <si>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</si>
  <si>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</si>
  <si>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</si>
  <si>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</si>
  <si>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</si>
  <si>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</si>
  <si>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</si>
  <si>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</si>
  <si>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</si>
  <si>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</si>
  <si>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</si>
  <si>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</si>
  <si>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</si>
  <si>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</si>
  <si>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</si>
  <si>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</si>
  <si>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</si>
  <si>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</si>
  <si>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</si>
  <si>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</si>
  <si>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</si>
  <si>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</si>
  <si>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</si>
  <si>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</si>
  <si>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</si>
  <si>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</si>
  <si>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</si>
  <si>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</si>
  <si>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</si>
  <si>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</si>
  <si>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</si>
  <si>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</si>
  <si>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</si>
  <si>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</si>
  <si>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</si>
  <si>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</si>
  <si>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</si>
  <si>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</si>
  <si>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</si>
  <si>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</si>
  <si>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</si>
  <si>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</si>
  <si>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</si>
  <si>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</si>
  <si>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</si>
  <si>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</si>
  <si>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</si>
  <si>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</si>
  <si>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</si>
  <si>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</si>
  <si>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</si>
  <si>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</si>
  <si>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</si>
  <si>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</si>
  <si>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</si>
  <si>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</si>
  <si>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</si>
  <si>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</si>
  <si>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</si>
  <si>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</si>
  <si>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</si>
  <si>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</si>
  <si>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</si>
  <si>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</si>
  <si>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</si>
  <si>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</si>
  <si>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</si>
  <si>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</si>
  <si>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</si>
  <si>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</si>
  <si>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</si>
  <si>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</si>
  <si>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</si>
  <si>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</si>
  <si>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</si>
  <si>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</si>
  <si>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</si>
  <si>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</si>
  <si>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</si>
  <si>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</si>
  <si>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</si>
  <si>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</si>
  <si>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</si>
  <si>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</si>
  <si>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</si>
  <si>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</si>
  <si>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</si>
  <si>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</si>
  <si>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</si>
  <si>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</si>
  <si>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</si>
  <si>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</si>
  <si>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</si>
  <si>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</si>
  <si>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</si>
  <si>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</si>
  <si>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</si>
  <si>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</si>
  <si>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</si>
  <si>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</si>
  <si>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</si>
  <si>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</si>
  <si>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</si>
  <si>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</si>
  <si>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</si>
  <si>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</si>
  <si>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</si>
  <si>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</si>
  <si>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</si>
  <si>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</si>
  <si>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</si>
  <si>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</si>
  <si>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</si>
  <si>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</si>
  <si>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</si>
  <si>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</si>
  <si>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</si>
  <si>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</si>
  <si>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</si>
  <si>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</si>
  <si>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</si>
  <si>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</si>
  <si>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</si>
  <si>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</si>
  <si>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</si>
  <si>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</si>
  <si>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</si>
  <si>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</si>
  <si>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</si>
  <si>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</si>
  <si>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</si>
  <si>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</si>
  <si>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</si>
  <si>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</si>
  <si>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</si>
  <si>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</si>
  <si>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</si>
  <si>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</si>
  <si>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</si>
  <si>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</si>
  <si>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</si>
  <si>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</si>
  <si>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</si>
  <si>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</si>
  <si>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</si>
  <si>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</si>
  <si>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</si>
  <si>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</si>
  <si>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</si>
  <si>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</si>
  <si>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</si>
  <si>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</si>
  <si>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</si>
  <si>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</si>
  <si>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</si>
  <si>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</si>
  <si>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</si>
  <si>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</si>
  <si>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</si>
  <si>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</si>
  <si>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</si>
  <si>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</si>
  <si>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</si>
  <si>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</si>
  <si>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</si>
  <si>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</si>
  <si>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</si>
  <si>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</si>
  <si>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</si>
  <si>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</si>
  <si>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</si>
  <si>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</si>
  <si>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</si>
  <si>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</si>
  <si>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</si>
  <si>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</si>
  <si>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</si>
  <si>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</si>
  <si>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</si>
  <si>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</si>
  <si>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</si>
  <si>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</si>
  <si>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</si>
  <si>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</si>
  <si>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</si>
  <si>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</si>
  <si>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</si>
  <si>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</si>
  <si>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</si>
  <si>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</si>
  <si>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</si>
  <si>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</si>
  <si>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</si>
  <si>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</si>
  <si>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</si>
  <si>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</si>
  <si>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</si>
  <si>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</si>
  <si>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</si>
  <si>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</si>
  <si>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</si>
  <si>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</si>
  <si>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</si>
  <si>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</si>
  <si>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</si>
  <si>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</si>
  <si>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</si>
  <si>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</si>
  <si>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</si>
  <si>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</si>
  <si>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</si>
  <si>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</si>
  <si>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</si>
  <si>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</si>
  <si>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</si>
  <si>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</si>
  <si>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</si>
  <si>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</si>
  <si>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</si>
  <si>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</si>
  <si>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</si>
  <si>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</si>
  <si>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</si>
  <si>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</si>
  <si>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</si>
  <si>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</si>
  <si>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</si>
  <si>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</si>
  <si>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</si>
  <si>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</si>
  <si>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</si>
  <si>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</si>
  <si>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</si>
  <si>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</si>
  <si>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</si>
  <si>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</si>
  <si>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</si>
  <si>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</si>
  <si>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</si>
  <si>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</si>
  <si>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</si>
  <si>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</si>
  <si>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</si>
  <si>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</si>
  <si>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</si>
  <si>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</si>
  <si>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</si>
  <si>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</si>
  <si>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</si>
  <si>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</si>
  <si>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</si>
  <si>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</si>
  <si>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</si>
  <si>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</si>
  <si>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</si>
  <si>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</si>
  <si>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</si>
  <si>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</si>
  <si>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</si>
  <si>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</si>
  <si>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</si>
  <si>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</si>
  <si>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</si>
  <si>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</si>
  <si>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</si>
  <si>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</si>
  <si>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</si>
  <si>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</si>
  <si>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</si>
  <si>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</si>
  <si>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</si>
  <si>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</si>
  <si>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</si>
  <si>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</si>
  <si>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</si>
  <si>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</si>
  <si>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</si>
  <si>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</si>
  <si>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</si>
  <si>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</si>
  <si>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</si>
  <si>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</si>
  <si>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</si>
  <si>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</si>
  <si>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</si>
  <si>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KPI</t>
  </si>
  <si>
    <t>VALUE</t>
  </si>
  <si>
    <t>Total Revenue</t>
  </si>
  <si>
    <t>Total COGS</t>
  </si>
  <si>
    <t>Gross Income</t>
  </si>
  <si>
    <t>Total Quantity Sold</t>
  </si>
  <si>
    <t>Number of Transactions</t>
  </si>
  <si>
    <t>Average Transaction Value</t>
  </si>
  <si>
    <t>Row Labels</t>
  </si>
  <si>
    <t>Sum of Total</t>
  </si>
  <si>
    <t>Grand Total</t>
  </si>
  <si>
    <t>Sum of gross income</t>
  </si>
  <si>
    <t>Count of Invoice ID</t>
  </si>
  <si>
    <t>Revenue</t>
  </si>
  <si>
    <t>Revenue Share %</t>
  </si>
  <si>
    <t>Sum of Quantity</t>
  </si>
  <si>
    <t>Customer Type</t>
  </si>
  <si>
    <t>Transactions</t>
  </si>
  <si>
    <t>Payment Method</t>
  </si>
  <si>
    <t>Credit Card</t>
  </si>
  <si>
    <t>E-wallet</t>
  </si>
  <si>
    <t>Month</t>
  </si>
  <si>
    <t>January</t>
  </si>
  <si>
    <t>February</t>
  </si>
  <si>
    <t>March</t>
  </si>
  <si>
    <t>Category</t>
  </si>
  <si>
    <t>Avg Transaction Value</t>
  </si>
  <si>
    <t>Branch A</t>
  </si>
  <si>
    <t>Branch B</t>
  </si>
  <si>
    <t>Branch C</t>
  </si>
  <si>
    <t>Revenue per Transaction</t>
  </si>
  <si>
    <t>Average of Rating</t>
  </si>
  <si>
    <t>MANAGEMENT FINDINGS</t>
  </si>
  <si>
    <t>1. Branch Performance</t>
  </si>
  <si>
    <r>
      <t xml:space="preserve">Branch C generated the highest revenue at </t>
    </r>
    <r>
      <rPr>
        <b/>
        <sz val="11"/>
        <color theme="1"/>
        <rFont val="Calibri"/>
        <family val="2"/>
        <scheme val="minor"/>
      </rPr>
      <t>₦110,568.71</t>
    </r>
    <r>
      <rPr>
        <sz val="11"/>
        <color theme="1"/>
        <rFont val="Calibri"/>
        <family val="2"/>
        <scheme val="minor"/>
      </rPr>
      <t xml:space="preserve">, representing </t>
    </r>
    <r>
      <rPr>
        <b/>
        <sz val="11"/>
        <color theme="1"/>
        <rFont val="Calibri"/>
        <family val="2"/>
        <scheme val="minor"/>
      </rPr>
      <t>34.2%</t>
    </r>
    <r>
      <rPr>
        <sz val="11"/>
        <color theme="1"/>
        <rFont val="Calibri"/>
        <family val="2"/>
        <scheme val="minor"/>
      </rPr>
      <t xml:space="preserve"> of total revenue.</t>
    </r>
  </si>
  <si>
    <t>2. Product Performance</t>
  </si>
  <si>
    <r>
      <t xml:space="preserve">Food and Beverages generated the highest revenue at </t>
    </r>
    <r>
      <rPr>
        <b/>
        <sz val="11"/>
        <color theme="1"/>
        <rFont val="Calibri"/>
        <family val="2"/>
        <scheme val="minor"/>
      </rPr>
      <t>₦56,144.84</t>
    </r>
    <r>
      <rPr>
        <sz val="11"/>
        <color theme="1"/>
        <rFont val="Calibri"/>
        <family val="2"/>
        <scheme val="minor"/>
      </rPr>
      <t xml:space="preserve"> and also recorded the highest average customer rating of </t>
    </r>
    <r>
      <rPr>
        <b/>
        <sz val="11"/>
        <color theme="1"/>
        <rFont val="Calibri"/>
        <family val="2"/>
        <scheme val="minor"/>
      </rPr>
      <t>7.11</t>
    </r>
    <r>
      <rPr>
        <sz val="11"/>
        <color theme="1"/>
        <rFont val="Calibri"/>
        <family val="2"/>
        <scheme val="minor"/>
      </rPr>
      <t>.</t>
    </r>
  </si>
  <si>
    <t>3. Customer Type</t>
  </si>
  <si>
    <r>
      <t xml:space="preserve">Members generated slightly higher revenue than customers recorded as Normal: </t>
    </r>
    <r>
      <rPr>
        <b/>
        <sz val="11"/>
        <color theme="1"/>
        <rFont val="Calibri"/>
        <family val="2"/>
        <scheme val="minor"/>
      </rPr>
      <t>₦164,223.44 vs ₦158,743.31</t>
    </r>
    <r>
      <rPr>
        <sz val="11"/>
        <color theme="1"/>
        <rFont val="Calibri"/>
        <family val="2"/>
        <scheme val="minor"/>
      </rPr>
      <t>.</t>
    </r>
  </si>
  <si>
    <t>4. Gender Performance</t>
  </si>
  <si>
    <r>
      <t xml:space="preserve">Female customers generated higher revenue than male customers: </t>
    </r>
    <r>
      <rPr>
        <b/>
        <sz val="11"/>
        <color theme="1"/>
        <rFont val="Calibri"/>
        <family val="2"/>
        <scheme val="minor"/>
      </rPr>
      <t>₦167,882.93 vs ₦155,083.82</t>
    </r>
    <r>
      <rPr>
        <sz val="11"/>
        <color theme="1"/>
        <rFont val="Calibri"/>
        <family val="2"/>
        <scheme val="minor"/>
      </rPr>
      <t>.</t>
    </r>
  </si>
  <si>
    <t>5. Payment Methods</t>
  </si>
  <si>
    <r>
      <t>E-wallet recorded the most transactions (</t>
    </r>
    <r>
      <rPr>
        <b/>
        <sz val="11"/>
        <color theme="1"/>
        <rFont val="Calibri"/>
        <family val="2"/>
        <scheme val="minor"/>
      </rPr>
      <t>345</t>
    </r>
    <r>
      <rPr>
        <sz val="11"/>
        <color theme="1"/>
        <rFont val="Calibri"/>
        <family val="2"/>
        <scheme val="minor"/>
      </rPr>
      <t>), while Cash generated the highest revenue (</t>
    </r>
    <r>
      <rPr>
        <b/>
        <sz val="11"/>
        <color theme="1"/>
        <rFont val="Calibri"/>
        <family val="2"/>
        <scheme val="minor"/>
      </rPr>
      <t>₦112,206.57</t>
    </r>
    <r>
      <rPr>
        <sz val="11"/>
        <color theme="1"/>
        <rFont val="Calibri"/>
        <family val="2"/>
        <scheme val="minor"/>
      </rPr>
      <t>).</t>
    </r>
  </si>
  <si>
    <t>6. Monthly Performance</t>
  </si>
  <si>
    <r>
      <t xml:space="preserve">January recorded the highest revenue at </t>
    </r>
    <r>
      <rPr>
        <b/>
        <sz val="11"/>
        <color theme="1"/>
        <rFont val="Calibri"/>
        <family val="2"/>
        <scheme val="minor"/>
      </rPr>
      <t>₦116,291.87</t>
    </r>
    <r>
      <rPr>
        <sz val="11"/>
        <color theme="1"/>
        <rFont val="Calibri"/>
        <family val="2"/>
        <scheme val="minor"/>
      </rPr>
      <t xml:space="preserve">, while February recorded the lowest at </t>
    </r>
    <r>
      <rPr>
        <b/>
        <sz val="11"/>
        <color theme="1"/>
        <rFont val="Calibri"/>
        <family val="2"/>
        <scheme val="minor"/>
      </rPr>
      <t>₦97,219.37</t>
    </r>
    <r>
      <rPr>
        <sz val="11"/>
        <color theme="1"/>
        <rFont val="Calibri"/>
        <family val="2"/>
        <scheme val="minor"/>
      </rPr>
      <t>.</t>
    </r>
  </si>
  <si>
    <t>SUPERMARKET SALES ANALYSIS — MANAGEMENT SUMMARY</t>
  </si>
  <si>
    <t>OPERATIONAL INSIGHT</t>
  </si>
  <si>
    <r>
      <t>Transaction volume does not always correspond directly with revenue.</t>
    </r>
    <r>
      <rPr>
        <sz val="11"/>
        <color theme="1"/>
        <rFont val="Calibri"/>
        <family val="2"/>
        <scheme val="minor"/>
      </rPr>
      <t xml:space="preserve"> For example, Yangon recorded the highest number of transactions (340), while Naypyitaw generated the highest revenue (₦110,568.71).</t>
    </r>
  </si>
  <si>
    <t>SUPERMARKET SALES PERFORMANCE DASHBOARD</t>
  </si>
  <si>
    <t>Q1 2019 | January – March</t>
  </si>
  <si>
    <t>TOTAL REVENUE</t>
  </si>
  <si>
    <t>GROSS INCOME</t>
  </si>
  <si>
    <t>QUANTITY SOLD</t>
  </si>
  <si>
    <t>AVG. TRANSACTION VALUE</t>
  </si>
  <si>
    <t>OVERALL RATING</t>
  </si>
  <si>
    <t>Overall Rating</t>
  </si>
  <si>
    <t>TRANSACTION COUNT</t>
  </si>
  <si>
    <t>KEY TAKEAWAYS</t>
  </si>
  <si>
    <t>• Branch Performance: Branch C generated the highest revenue at ₦110,568.71, representing 34.2% of total revenue.
• Product Performance: Food and Beverages generated the highest revenue at ₦56,144.84 and also recorded the highest average rating at 7.11.
• Monthly Performance: January generated the highest monthly revenue at ₦116,291.87, while February recorded the lowest at ₦97,219.37.
• Payment Behavior: E-wallet recorded the highest number of transactions (345), while Cash generated the highest revenue (₦112,206.57).</t>
  </si>
  <si>
    <t>SUPERMARKET SALES ANALYSIS — BUSINESS INSIGHTS</t>
  </si>
  <si>
    <t>Insight 1 — Overall Performance</t>
  </si>
  <si>
    <t>Insight 2 — Branch Performance</t>
  </si>
  <si>
    <t>BUSINESS RECOMMENDATIONS</t>
  </si>
  <si>
    <r>
      <rPr>
        <b/>
        <sz val="11"/>
        <color theme="1"/>
        <rFont val="Calibri"/>
        <family val="2"/>
        <scheme val="minor"/>
      </rPr>
      <t>1. Review Branch C's performance drivers.</t>
    </r>
    <r>
      <rPr>
        <sz val="11"/>
        <color theme="1"/>
        <rFont val="Calibri"/>
        <family val="2"/>
        <scheme val="minor"/>
      </rPr>
      <t xml:space="preserve">
Management should investigate the factors contributing to Branch C's higher average transaction value and revenue. Practices identified at Branch C could be assessed for possible application across other branches.
</t>
    </r>
    <r>
      <rPr>
        <b/>
        <sz val="11"/>
        <color theme="1"/>
        <rFont val="Calibri"/>
        <family val="2"/>
        <scheme val="minor"/>
      </rPr>
      <t>2. Maintain focus on Food and Beverages.</t>
    </r>
    <r>
      <rPr>
        <sz val="11"/>
        <color theme="1"/>
        <rFont val="Calibri"/>
        <family val="2"/>
        <scheme val="minor"/>
      </rPr>
      <t xml:space="preserve">
Food and Beverages generated the highest revenue and gross income while also recording the highest average customer rating. Management should monitor inventory availability and customer demand for this product line to avoid missed sales opportunities.
</t>
    </r>
    <r>
      <rPr>
        <b/>
        <sz val="11"/>
        <color theme="1"/>
        <rFont val="Calibri"/>
        <family val="2"/>
        <scheme val="minor"/>
      </rPr>
      <t xml:space="preserve">3. Investigate the February revenue decline.
</t>
    </r>
    <r>
      <rPr>
        <sz val="11"/>
        <color theme="1"/>
        <rFont val="Calibri"/>
        <family val="2"/>
        <scheme val="minor"/>
      </rPr>
      <t xml:space="preserve">February generated the lowest monthly revenue at ₦97,219.37. Management should review factors such as product availability, promotions, customer traffic and operational issues to understand the decline.
</t>
    </r>
    <r>
      <rPr>
        <b/>
        <sz val="11"/>
        <color theme="1"/>
        <rFont val="Calibri"/>
        <family val="2"/>
        <scheme val="minor"/>
      </rPr>
      <t xml:space="preserve">4. Monitor payment-channel performance.
</t>
    </r>
    <r>
      <rPr>
        <sz val="11"/>
        <color theme="1"/>
        <rFont val="Calibri"/>
        <family val="2"/>
        <scheme val="minor"/>
      </rPr>
      <t xml:space="preserve">E-wallet recorded the highest transaction count, while Cash generated the highest revenue. Management should monitor transaction value and customer usage across payment methods before making decisions about payment-channel priorities.
</t>
    </r>
    <r>
      <rPr>
        <b/>
        <sz val="11"/>
        <color theme="1"/>
        <rFont val="Calibri"/>
        <family val="2"/>
        <scheme val="minor"/>
      </rPr>
      <t>5. Review Health and Beauty performance.</t>
    </r>
    <r>
      <rPr>
        <sz val="11"/>
        <color theme="1"/>
        <rFont val="Calibri"/>
        <family val="2"/>
        <scheme val="minor"/>
      </rPr>
      <t xml:space="preserve">
Health and Beauty recorded the lowest product-line revenue at ₦49,193.74 and the lowest quantity sold at 854 units. Management should investigate demand, pricing, product availability and customer feedback to identify potential improvement opportunities.</t>
    </r>
  </si>
  <si>
    <t>• The supermarket generated total revenue of ₦322,966.75 from 1,000 transactions, with 5,510 units sold. Gross income was ₦15,379.37, while the average transaction value was ₦322.97.
• The results provide a baseline for comparing branch, product, customer, payment and monthly performance during the quarter.</t>
  </si>
  <si>
    <t>• Branch C generated the highest revenue at ₦110,568.71, accounting for 34.2% of total revenue. Branch A and Branch B generated ₦106,200.37 and ₦106,197.67, respectively.
• Branch C achieved the highest revenue despite recording the lowest transaction count among the three branches. Its average transaction value was ₦337.10, compared with ₦312.35 for Branch A and ₦319.87 for Branch B.</t>
  </si>
  <si>
    <t>• E-wallet recorded the highest transaction count at 345, followed closely by Cash at 344, while Credit Card recorded 311 transactions.
• Despite having fewer transactions than E-wallet, Cash generated the highest revenue at ₦112,206.57.</t>
  </si>
  <si>
    <t>• January generated the highest revenue at ₦116,291.87 from 352 transactions.
• Revenue declined to ₦97,219.37 in February before increasing to ₦109,455.51 in March.
• February therefore represents the weakest revenue month within the quarter and may warrant further investigation into the factors affecting sales performance.</t>
  </si>
  <si>
    <t>• Customers recorded as Member generated ₦164,223.44 in revenue compared with ₦158,743.31 from customers recorded as Normal.
• Members also recorded a higher average transaction value of ₦327.79, compared with ₦318.12 for Normal customers.
• Female customers generated ₦167,882.93 in revenue compared with ₦155,083.82 from male customers. Their average transaction value was also higher at ₦335.10, compared with ₦310.79 for male customers.</t>
  </si>
  <si>
    <t>• Food and Beverages generated the highest revenue at ₦56,144.84 and also recorded the highest gross income at ₦2,673.56.
• Food and Beverages also recorded the highest average customer rating at 7.11, compared with the overall average rating of 6.97.
• Electronic Accessories recorded the highest quantity sold at 971 units, while Fashion Accessories recorded the highest number of transactions at 178.</t>
  </si>
  <si>
    <t>Product Line</t>
  </si>
  <si>
    <t>Insight 3 — Product Performance</t>
  </si>
  <si>
    <t>Insight 4 — Customer Performance</t>
  </si>
  <si>
    <t>Insight 5 — Payment Behaviour</t>
  </si>
  <si>
    <t>Insight 6 —Monthly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</si>
</sst>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b/>
      <sz val="18"/>
      <color theme="0"/>
      <name val="Calibri"/>
      <family val="2"/>
      <scheme val="minor"/>
    </font>
    <font>
      <sz val="18"/>
      <color theme="0"/>
      <name val="Calibri"/>
      <family val="2"/>
      <scheme val="minor"/>
    </font>
    <font>
      <sz val="10"/>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14" fontId="0" fillId="0" borderId="0" xfId="0" applyNumberFormat="1"/>
    <xf numFmtId="20" fontId="0" fillId="0" borderId="0" xfId="0" applyNumberFormat="1"/>
    <xf numFmtId="0" fontId="0" fillId="0" borderId="0" xfId="0" applyAlignment="1">
      <alignment horizontal="center" wrapText="1"/>
    </xf>
    <xf numFmtId="0" fontId="0" fillId="0" borderId="0" xfId="0" applyAlignment="1">
      <alignment wrapText="1"/>
    </xf>
    <xf numFmtId="2" fontId="0" fillId="0" borderId="0" xfId="0" applyNumberFormat="1"/>
    <xf numFmtId="0" fontId="0" fillId="0" borderId="0" xfId="0" pivotButton="1"/>
    <xf numFmtId="0" fontId="0" fillId="0" borderId="0" xfId="0" applyAlignment="1">
      <alignment horizontal="left"/>
    </xf>
    <xf numFmtId="164" fontId="0" fillId="0" borderId="0" xfId="42" applyNumberFormat="1" applyFont="1"/>
    <xf numFmtId="1" fontId="0" fillId="0" borderId="0" xfId="0" applyNumberFormat="1"/>
    <xf numFmtId="0" fontId="16" fillId="0" borderId="0" xfId="0" applyFont="1"/>
    <xf numFmtId="165" fontId="0" fillId="0" borderId="0" xfId="0" applyNumberFormat="1"/>
    <xf numFmtId="0" fontId="0" fillId="0" borderId="0" xfId="0" applyAlignment="1">
      <alignment horizontal="right" vertical="center" wrapText="1"/>
    </xf>
    <xf numFmtId="0" fontId="0" fillId="0" borderId="0" xfId="0" applyAlignment="1">
      <alignment vertical="center" wrapText="1"/>
    </xf>
    <xf numFmtId="0" fontId="16" fillId="0" borderId="0" xfId="0" applyFont="1" applyAlignment="1">
      <alignment wrapText="1"/>
    </xf>
    <xf numFmtId="2" fontId="0" fillId="0" borderId="0" xfId="0" applyNumberFormat="1" applyAlignment="1">
      <alignment horizontal="right" vertical="center" wrapText="1"/>
    </xf>
    <xf numFmtId="4" fontId="0" fillId="0" borderId="0" xfId="0" applyNumberFormat="1" applyAlignment="1">
      <alignment horizontal="right" vertical="center" wrapText="1"/>
    </xf>
    <xf numFmtId="3" fontId="0" fillId="0" borderId="0" xfId="0" applyNumberFormat="1" applyAlignment="1">
      <alignment horizontal="right" vertical="center" wrapText="1"/>
    </xf>
    <xf numFmtId="0" fontId="16" fillId="0" borderId="0" xfId="0" applyFont="1" applyAlignment="1">
      <alignment vertical="center"/>
    </xf>
    <xf numFmtId="0" fontId="16" fillId="0" borderId="0" xfId="0" applyFont="1" applyAlignment="1">
      <alignment horizontal="center" vertical="center" wrapText="1"/>
    </xf>
    <xf numFmtId="0" fontId="16" fillId="0" borderId="0" xfId="0" applyFont="1" applyAlignment="1">
      <alignment horizontal="right" vertical="center" wrapText="1"/>
    </xf>
    <xf numFmtId="0" fontId="0" fillId="0" borderId="0" xfId="0" applyAlignment="1">
      <alignment vertical="center"/>
    </xf>
    <xf numFmtId="0" fontId="0" fillId="0" borderId="0" xfId="0" applyAlignment="1">
      <alignment horizontal="right" vertical="center"/>
    </xf>
    <xf numFmtId="2" fontId="0" fillId="0" borderId="0" xfId="0" applyNumberFormat="1" applyAlignment="1">
      <alignment horizontal="right" vertical="center"/>
    </xf>
    <xf numFmtId="2" fontId="0" fillId="0" borderId="0" xfId="42" applyNumberFormat="1" applyFont="1"/>
    <xf numFmtId="0" fontId="18" fillId="0" borderId="0" xfId="0" applyFont="1"/>
    <xf numFmtId="0" fontId="21" fillId="0" borderId="0" xfId="0" applyFont="1" applyAlignment="1">
      <alignment horizontal="center"/>
    </xf>
    <xf numFmtId="0" fontId="0" fillId="0" borderId="0" xfId="0" applyAlignment="1">
      <alignment horizontal="left" wrapText="1"/>
    </xf>
    <xf numFmtId="0" fontId="16" fillId="0" borderId="0" xfId="0" applyFont="1" applyAlignment="1">
      <alignment horizontal="center"/>
    </xf>
    <xf numFmtId="0" fontId="16" fillId="0" borderId="0" xfId="0" applyFont="1" applyAlignment="1">
      <alignment horizontal="left" vertical="center" wrapText="1"/>
    </xf>
    <xf numFmtId="0" fontId="0" fillId="0" borderId="0" xfId="0" applyAlignment="1">
      <alignment horizontal="left"/>
    </xf>
    <xf numFmtId="0" fontId="0" fillId="0" borderId="0" xfId="0" applyAlignment="1">
      <alignment horizontal="center" wrapText="1"/>
    </xf>
    <xf numFmtId="0" fontId="0" fillId="0" borderId="0" xfId="0" applyAlignment="1">
      <alignment horizontal="center"/>
    </xf>
    <xf numFmtId="165" fontId="20" fillId="33" borderId="0" xfId="0" applyNumberFormat="1" applyFont="1" applyFill="1" applyAlignment="1">
      <alignment horizontal="center"/>
    </xf>
    <xf numFmtId="0" fontId="13" fillId="33" borderId="0" xfId="0" applyFont="1" applyFill="1" applyAlignment="1">
      <alignment horizontal="center"/>
    </xf>
    <xf numFmtId="0" fontId="21" fillId="33" borderId="0" xfId="0" applyFont="1" applyFill="1" applyAlignment="1">
      <alignment horizontal="center"/>
    </xf>
    <xf numFmtId="2" fontId="20" fillId="33" borderId="0" xfId="0" applyNumberFormat="1" applyFont="1" applyFill="1" applyAlignment="1">
      <alignment horizontal="center"/>
    </xf>
    <xf numFmtId="0" fontId="20" fillId="33" borderId="0" xfId="0" applyFont="1" applyFill="1" applyAlignment="1">
      <alignment horizontal="center"/>
    </xf>
    <xf numFmtId="3" fontId="20" fillId="33" borderId="0" xfId="43" applyNumberFormat="1" applyFont="1" applyFill="1" applyAlignment="1">
      <alignment horizontal="center"/>
    </xf>
    <xf numFmtId="0" fontId="19" fillId="33" borderId="0" xfId="0" applyFont="1" applyFill="1" applyAlignment="1">
      <alignment horizontal="center"/>
    </xf>
    <xf numFmtId="0" fontId="0" fillId="0" borderId="0" xfId="0" applyAlignment="1">
      <alignment horizontal="left" wrapText="1"/>
    </xf>
    <xf numFmtId="0" fontId="22" fillId="0" borderId="0" xfId="0"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numFmt numFmtId="2" formatCode="0.00"/>
    </dxf>
    <dxf>
      <numFmt numFmtId="1" formatCode="0"/>
    </dxf>
    <dxf>
      <numFmt numFmtId="1" formatCode="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Branch</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Analysis!$B$10</c:f>
              <c:strCache>
                <c:ptCount val="1"/>
                <c:pt idx="0">
                  <c:v>Revenue</c:v>
                </c:pt>
              </c:strCache>
            </c:strRef>
          </c:tx>
          <c:spPr>
            <a:solidFill>
              <a:schemeClr val="accent1"/>
            </a:solidFill>
            <a:ln>
              <a:noFill/>
            </a:ln>
            <a:effectLst/>
          </c:spPr>
          <c:invertIfNegative val="0"/>
          <c:cat>
            <c:strRef>
              <c:f>Analysis!$A$11:$A$13</c:f>
              <c:strCache>
                <c:ptCount val="3"/>
                <c:pt idx="0">
                  <c:v>A</c:v>
                </c:pt>
                <c:pt idx="1">
                  <c:v>B</c:v>
                </c:pt>
                <c:pt idx="2">
                  <c:v>C</c:v>
                </c:pt>
              </c:strCache>
            </c:strRef>
          </c:cat>
          <c:val>
            <c:numRef>
              <c:f>Analysis!$B$11:$B$13</c:f>
              <c:numCache>
                <c:formatCode>0.00</c:formatCode>
                <c:ptCount val="3"/>
                <c:pt idx="0">
                  <c:v>106200.3705</c:v>
                </c:pt>
                <c:pt idx="1">
                  <c:v>106197.67200000001</c:v>
                </c:pt>
                <c:pt idx="2">
                  <c:v>110568.7065</c:v>
                </c:pt>
              </c:numCache>
            </c:numRef>
          </c:val>
          <c:extLst>
            <c:ext xmlns:c16="http://schemas.microsoft.com/office/drawing/2014/chart" uri="{C3380CC4-5D6E-409C-BE32-E72D297353CC}">
              <c16:uniqueId val="{00000000-50AA-4D99-A4AA-6B7F92EE13D4}"/>
            </c:ext>
          </c:extLst>
        </c:ser>
        <c:dLbls>
          <c:showLegendKey val="0"/>
          <c:showVal val="0"/>
          <c:showCatName val="0"/>
          <c:showSerName val="0"/>
          <c:showPercent val="0"/>
          <c:showBubbleSize val="0"/>
        </c:dLbls>
        <c:gapWidth val="219"/>
        <c:overlap val="-27"/>
        <c:axId val="1588991984"/>
        <c:axId val="1463538800"/>
      </c:barChart>
      <c:catAx>
        <c:axId val="15889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38800"/>
        <c:crosses val="autoZero"/>
        <c:auto val="1"/>
        <c:lblAlgn val="ctr"/>
        <c:lblOffset val="100"/>
        <c:noMultiLvlLbl val="0"/>
      </c:catAx>
      <c:valAx>
        <c:axId val="14635388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8899198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Analysis!$G$1</c:f>
              <c:strCache>
                <c:ptCount val="1"/>
                <c:pt idx="0">
                  <c:v>Revenue</c:v>
                </c:pt>
              </c:strCache>
            </c:strRef>
          </c:tx>
          <c:spPr>
            <a:ln w="34925" cap="rnd">
              <a:solidFill>
                <a:schemeClr val="accent1"/>
              </a:solidFill>
              <a:round/>
            </a:ln>
            <a:effectLst/>
          </c:spPr>
          <c:marker>
            <c:symbol val="circle"/>
            <c:size val="5"/>
            <c:spPr>
              <a:solidFill>
                <a:schemeClr val="accent1">
                  <a:lumMod val="50000"/>
                </a:schemeClr>
              </a:solidFill>
              <a:ln w="15875">
                <a:solidFill>
                  <a:schemeClr val="accent1"/>
                </a:solidFill>
              </a:ln>
              <a:effectLst/>
            </c:spPr>
          </c:marker>
          <c:cat>
            <c:strRef>
              <c:f>Analysis!$E$2:$E$4</c:f>
              <c:strCache>
                <c:ptCount val="3"/>
                <c:pt idx="0">
                  <c:v>January</c:v>
                </c:pt>
                <c:pt idx="1">
                  <c:v>February</c:v>
                </c:pt>
                <c:pt idx="2">
                  <c:v>March</c:v>
                </c:pt>
              </c:strCache>
            </c:strRef>
          </c:cat>
          <c:val>
            <c:numRef>
              <c:f>Analysis!$G$2:$G$4</c:f>
              <c:numCache>
                <c:formatCode>#,##0.00</c:formatCode>
                <c:ptCount val="3"/>
                <c:pt idx="0">
                  <c:v>116291.87</c:v>
                </c:pt>
                <c:pt idx="1">
                  <c:v>97219.37</c:v>
                </c:pt>
                <c:pt idx="2">
                  <c:v>109455.51</c:v>
                </c:pt>
              </c:numCache>
            </c:numRef>
          </c:val>
          <c:smooth val="0"/>
          <c:extLst>
            <c:ext xmlns:c16="http://schemas.microsoft.com/office/drawing/2014/chart" uri="{C3380CC4-5D6E-409C-BE32-E72D297353CC}">
              <c16:uniqueId val="{00000000-3886-475C-BA41-13ED20CC969E}"/>
            </c:ext>
          </c:extLst>
        </c:ser>
        <c:dLbls>
          <c:showLegendKey val="0"/>
          <c:showVal val="0"/>
          <c:showCatName val="0"/>
          <c:showSerName val="0"/>
          <c:showPercent val="0"/>
          <c:showBubbleSize val="0"/>
        </c:dLbls>
        <c:upDownBars>
          <c:gapWidth val="336"/>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585095632"/>
        <c:axId val="1463589680"/>
      </c:lineChart>
      <c:catAx>
        <c:axId val="158509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89680"/>
        <c:crosses val="autoZero"/>
        <c:auto val="1"/>
        <c:lblAlgn val="ctr"/>
        <c:lblOffset val="100"/>
        <c:noMultiLvlLbl val="0"/>
      </c:catAx>
      <c:valAx>
        <c:axId val="14635896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8509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Analysis!$F$14</c:f>
              <c:strCache>
                <c:ptCount val="1"/>
                <c:pt idx="0">
                  <c:v>Revenue</c:v>
                </c:pt>
              </c:strCache>
            </c:strRef>
          </c:tx>
          <c:spPr>
            <a:solidFill>
              <a:schemeClr val="accent1"/>
            </a:solidFill>
            <a:ln>
              <a:noFill/>
            </a:ln>
            <a:effectLst/>
          </c:spPr>
          <c:invertIfNegative val="0"/>
          <c:cat>
            <c:strRef>
              <c:f>Analysis!$E$15:$E$20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Analysis!$F$15:$F$20</c:f>
              <c:numCache>
                <c:formatCode>General</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0-2B9B-4578-9867-D44F0A56891C}"/>
            </c:ext>
          </c:extLst>
        </c:ser>
        <c:dLbls>
          <c:showLegendKey val="0"/>
          <c:showVal val="0"/>
          <c:showCatName val="0"/>
          <c:showSerName val="0"/>
          <c:showPercent val="0"/>
          <c:showBubbleSize val="0"/>
        </c:dLbls>
        <c:gapWidth val="182"/>
        <c:axId val="1588986416"/>
        <c:axId val="1463455760"/>
      </c:barChart>
      <c:catAx>
        <c:axId val="158898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63455760"/>
        <c:crosses val="autoZero"/>
        <c:auto val="1"/>
        <c:lblAlgn val="ctr"/>
        <c:lblOffset val="100"/>
        <c:noMultiLvlLbl val="0"/>
      </c:catAx>
      <c:valAx>
        <c:axId val="1463455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986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Transactions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Analysis!$B$15</c:f>
              <c:strCache>
                <c:ptCount val="1"/>
                <c:pt idx="0">
                  <c:v>Transactions</c:v>
                </c:pt>
              </c:strCache>
            </c:strRef>
          </c:tx>
          <c:spPr>
            <a:solidFill>
              <a:schemeClr val="accent1"/>
            </a:solidFill>
            <a:ln>
              <a:noFill/>
            </a:ln>
            <a:effectLst/>
          </c:spPr>
          <c:invertIfNegative val="0"/>
          <c:cat>
            <c:strRef>
              <c:f>Analysis!$A$16:$A$18</c:f>
              <c:strCache>
                <c:ptCount val="3"/>
                <c:pt idx="0">
                  <c:v>Cash</c:v>
                </c:pt>
                <c:pt idx="1">
                  <c:v>Credit Card</c:v>
                </c:pt>
                <c:pt idx="2">
                  <c:v>E-wallet</c:v>
                </c:pt>
              </c:strCache>
            </c:strRef>
          </c:cat>
          <c:val>
            <c:numRef>
              <c:f>Analysis!$B$16:$B$18</c:f>
              <c:numCache>
                <c:formatCode>General</c:formatCode>
                <c:ptCount val="3"/>
                <c:pt idx="0">
                  <c:v>344</c:v>
                </c:pt>
                <c:pt idx="1">
                  <c:v>311</c:v>
                </c:pt>
                <c:pt idx="2">
                  <c:v>345</c:v>
                </c:pt>
              </c:numCache>
            </c:numRef>
          </c:val>
          <c:extLst>
            <c:ext xmlns:c16="http://schemas.microsoft.com/office/drawing/2014/chart" uri="{C3380CC4-5D6E-409C-BE32-E72D297353CC}">
              <c16:uniqueId val="{00000000-58DC-4372-8342-D03A3B81A83C}"/>
            </c:ext>
          </c:extLst>
        </c:ser>
        <c:dLbls>
          <c:showLegendKey val="0"/>
          <c:showVal val="0"/>
          <c:showCatName val="0"/>
          <c:showSerName val="0"/>
          <c:showPercent val="0"/>
          <c:showBubbleSize val="0"/>
        </c:dLbls>
        <c:gapWidth val="219"/>
        <c:overlap val="-27"/>
        <c:axId val="1588972496"/>
        <c:axId val="1463456240"/>
      </c:barChart>
      <c:catAx>
        <c:axId val="158897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456240"/>
        <c:crosses val="autoZero"/>
        <c:auto val="1"/>
        <c:lblAlgn val="ctr"/>
        <c:lblOffset val="100"/>
        <c:noMultiLvlLbl val="0"/>
      </c:catAx>
      <c:valAx>
        <c:axId val="146345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88972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610601</xdr:colOff>
      <xdr:row>5</xdr:row>
      <xdr:rowOff>52600</xdr:rowOff>
    </xdr:from>
    <xdr:to>
      <xdr:col>10</xdr:col>
      <xdr:colOff>122101</xdr:colOff>
      <xdr:row>19</xdr:row>
      <xdr:rowOff>53766</xdr:rowOff>
    </xdr:to>
    <xdr:graphicFrame macro="">
      <xdr:nvGraphicFramePr>
        <xdr:cNvPr id="3" name="Chart 1">
          <a:extLst>
            <a:ext uri="{FF2B5EF4-FFF2-40B4-BE49-F238E27FC236}">
              <a16:creationId xmlns:a16="http://schemas.microsoft.com/office/drawing/2014/main" id="{8031B6A0-AF1F-7BF8-098A-749A71EDA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192765</xdr:colOff>
      <xdr:row>5</xdr:row>
      <xdr:rowOff>56695</xdr:rowOff>
    </xdr:from>
    <xdr:to>
      <xdr:col>17</xdr:col>
      <xdr:colOff>611408</xdr:colOff>
      <xdr:row>19</xdr:row>
      <xdr:rowOff>36695</xdr:rowOff>
    </xdr:to>
    <xdr:graphicFrame macro="">
      <xdr:nvGraphicFramePr>
        <xdr:cNvPr id="4" name="Chart 2">
          <a:extLst>
            <a:ext uri="{FF2B5EF4-FFF2-40B4-BE49-F238E27FC236}">
              <a16:creationId xmlns:a16="http://schemas.microsoft.com/office/drawing/2014/main" id="{30921551-7A51-5B4A-0005-72806794E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12573</xdr:colOff>
      <xdr:row>19</xdr:row>
      <xdr:rowOff>125846</xdr:rowOff>
    </xdr:from>
    <xdr:to>
      <xdr:col>10</xdr:col>
      <xdr:colOff>136394</xdr:colOff>
      <xdr:row>33</xdr:row>
      <xdr:rowOff>99897</xdr:rowOff>
    </xdr:to>
    <xdr:graphicFrame macro="">
      <xdr:nvGraphicFramePr>
        <xdr:cNvPr id="5" name="Chart 3">
          <a:extLst>
            <a:ext uri="{FF2B5EF4-FFF2-40B4-BE49-F238E27FC236}">
              <a16:creationId xmlns:a16="http://schemas.microsoft.com/office/drawing/2014/main" id="{87B948AA-AD48-F706-1337-0A1BFA2DA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193416</xdr:colOff>
      <xdr:row>19</xdr:row>
      <xdr:rowOff>131038</xdr:rowOff>
    </xdr:from>
    <xdr:to>
      <xdr:col>17</xdr:col>
      <xdr:colOff>612059</xdr:colOff>
      <xdr:row>33</xdr:row>
      <xdr:rowOff>105089</xdr:rowOff>
    </xdr:to>
    <xdr:graphicFrame macro="">
      <xdr:nvGraphicFramePr>
        <xdr:cNvPr id="6" name="Chart 4">
          <a:extLst>
            <a:ext uri="{FF2B5EF4-FFF2-40B4-BE49-F238E27FC236}">
              <a16:creationId xmlns:a16="http://schemas.microsoft.com/office/drawing/2014/main" id="{C915632B-9D94-68D5-2E6C-E83383FC8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6.610820254631" backgroundQuery="1" createdVersion="8" refreshedVersion="8" minRefreshableVersion="3" recordCount="0" supportSubquery="1" supportAdvancedDrill="1" xr:uid="{5AA3FADC-D092-4FDF-B02F-BC4AB6E1D72B}">
  <cacheSource type="external" connectionId="1"/>
  <cacheFields count="3">
    <cacheField name="[Range].[Branch].[Branch]" caption="Branch" numFmtId="0" hierarchy="1" level="1">
      <sharedItems count="3">
        <s v="A"/>
        <s v="B"/>
        <s v="C"/>
      </sharedItems>
    </cacheField>
    <cacheField name="[Measures].[Sum of Total]" caption="Sum of Total" numFmtId="0" hierarchy="21" level="32767"/>
    <cacheField name="[Measures].[Sum of gross income]" caption="Sum of gross income" numFmtId="0" hierarchy="23" level="32767"/>
  </cacheFields>
  <cacheHierarchies count="29">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gross income]" caption="Sum of gross income" measure="1" displayFolder="" measureGroup="Range"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Invoice ID]" caption="Count of Invoice ID" measure="1" displayFolder="" measureGroup="Range" count="0" hidden="1">
      <extLst>
        <ext xmlns:x15="http://schemas.microsoft.com/office/spreadsheetml/2010/11/main" uri="{B97F6D7D-B522-45F9-BDA1-12C45D357490}">
          <x15:cacheHierarchy aggregatedColumn="0"/>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Invoice ID]" caption="Distinct Count of Invoice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6.612617245373" backgroundQuery="1" createdVersion="8" refreshedVersion="8" minRefreshableVersion="3" recordCount="0" supportSubquery="1" supportAdvancedDrill="1" xr:uid="{73CFDB30-4A11-4F6E-885A-04D4B3442B43}">
  <cacheSource type="external" connectionId="1"/>
  <cacheFields count="5">
    <cacheField name="[Range].[Customer type].[Customer type]" caption="Customer type" numFmtId="0" hierarchy="3" level="1">
      <sharedItems count="2">
        <s v="Member"/>
        <s v="Normal"/>
      </sharedItems>
    </cacheField>
    <cacheField name="[Measures].[Sum of Total]" caption="Sum of Total" numFmtId="0" hierarchy="21" level="32767"/>
    <cacheField name="[Measures].[Sum of Quantity]" caption="Sum of Quantity" numFmtId="0" hierarchy="22" level="32767"/>
    <cacheField name="[Measures].[Count of Invoice ID]" caption="Count of Invoice ID" numFmtId="0" hierarchy="24" level="32767"/>
    <cacheField name="[Measures].[Sum of gross income]" caption="Sum of gross income" numFmtId="0" hierarchy="23" level="32767"/>
  </cacheFields>
  <cacheHierarchies count="29">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0" memberValueDatatype="130" unbalanced="0"/>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gross income]" caption="Sum of gross income" measure="1" displayFolder="" measureGroup="Range"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Invoice ID]" caption="Count of Invoice 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Invoice ID]" caption="Distinct Count of Invoice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860772916669" backgroundQuery="1" createdVersion="8" refreshedVersion="8" minRefreshableVersion="3" recordCount="0" supportSubquery="1" supportAdvancedDrill="1" xr:uid="{4E5CEFE7-7D1A-496E-BC19-5F41A97A31FE}">
  <cacheSource type="external" connectionId="1"/>
  <cacheFields count="4">
    <cacheField name="[Range].[Gender].[Gender]" caption="Gender" numFmtId="0" hierarchy="4" level="1">
      <sharedItems count="2">
        <s v="Female"/>
        <s v="Male"/>
      </sharedItems>
    </cacheField>
    <cacheField name="[Measures].[Count of Invoice ID]" caption="Count of Invoice ID" numFmtId="0" hierarchy="24" level="32767"/>
    <cacheField name="[Measures].[Sum of Quantity]" caption="Sum of Quantity" numFmtId="0" hierarchy="22" level="32767"/>
    <cacheField name="[Measures].[Sum of Total]" caption="Sum of Total" numFmtId="0" hierarchy="21" level="32767"/>
  </cacheFields>
  <cacheHierarchies count="29">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Count of Invoice ID]" caption="Count of Invoice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Invoice ID]" caption="Distinct Count of Invoice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790831712962" backgroundQuery="1" createdVersion="8" refreshedVersion="8" minRefreshableVersion="3" recordCount="0" supportSubquery="1" supportAdvancedDrill="1" xr:uid="{E451618A-CF2D-493A-B0CC-DB3067A5DC72}">
  <cacheSource type="external" connectionId="1"/>
  <cacheFields count="3">
    <cacheField name="[Range].[Payment].[Payment]" caption="Payment" numFmtId="0" hierarchy="12" level="1">
      <sharedItems count="3">
        <s v="Cash"/>
        <s v="Credit card"/>
        <s v="Ewallet"/>
      </sharedItems>
    </cacheField>
    <cacheField name="[Measures].[Count of Invoice ID]" caption="Count of Invoice ID" numFmtId="0" hierarchy="24" level="32767"/>
    <cacheField name="[Measures].[Sum of Total]" caption="Sum of Total" numFmtId="0" hierarchy="21" level="32767"/>
  </cacheFields>
  <cacheHierarchies count="29">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2" memberValueDatatype="130" unbalanced="0">
      <fieldsUsage count="2">
        <fieldUsage x="-1"/>
        <fieldUsage x="0"/>
      </fieldsUsage>
    </cacheHierarchy>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gross income]" caption="Sum of gross income" measure="1" displayFolder="" measureGroup="Range" count="0" hidden="1">
      <extLst>
        <ext xmlns:x15="http://schemas.microsoft.com/office/spreadsheetml/2010/11/main" uri="{B97F6D7D-B522-45F9-BDA1-12C45D357490}">
          <x15:cacheHierarchy aggregatedColumn="15"/>
        </ext>
      </extLst>
    </cacheHierarchy>
    <cacheHierarchy uniqueName="[Measures].[Count of Invoice ID]" caption="Count of Invoice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Invoice ID]" caption="Distinct Count of Invoice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6.619258449071" backgroundQuery="1" createdVersion="8" refreshedVersion="8" minRefreshableVersion="3" recordCount="0" supportSubquery="1" supportAdvancedDrill="1" xr:uid="{1D2758D8-9CB0-4C97-98E6-A0643BBC9EAA}">
  <cacheSource type="external" connectionId="1"/>
  <cacheFields count="6">
    <cacheField name="[Range].[Product line].[Product line]" caption="Product line" numFmtId="0" hierarchy="5" level="1">
      <sharedItems count="6">
        <s v="Electronic accessories"/>
        <s v="Fashion accessories"/>
        <s v="Food and beverages"/>
        <s v="Health and beauty"/>
        <s v="Home and lifestyle"/>
        <s v="Sports and travel"/>
      </sharedItems>
    </cacheField>
    <cacheField name="[Measures].[Sum of Total]" caption="Sum of Total" numFmtId="0" hierarchy="21" level="32767"/>
    <cacheField name="[Measures].[Sum of Quantity]" caption="Sum of Quantity" numFmtId="0" hierarchy="22" level="32767"/>
    <cacheField name="[Measures].[Sum of gross income]" caption="Sum of gross income" numFmtId="0" hierarchy="23" level="32767"/>
    <cacheField name="[Measures].[Count of Invoice ID]" caption="Count of Invoice ID" numFmtId="0" hierarchy="24" level="32767"/>
    <cacheField name="[Measures].[Average of Rating]" caption="Average of Rating" numFmtId="0" hierarchy="28" level="32767"/>
  </cacheFields>
  <cacheHierarchies count="29">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Product line]" caption="Product line" attribute="1" defaultMemberUniqueName="[Range].[Product line].[All]" allUniqueName="[Range].[Product line].[All]" dimensionUniqueName="[Range]" displayFolder="" count="2" memberValueDatatype="130" unbalanced="0">
      <fieldsUsage count="2">
        <fieldUsage x="-1"/>
        <fieldUsage x="0"/>
      </fieldsUsage>
    </cacheHierarchy>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gross income]" caption="Sum of gross income" measure="1" displayFolder="" measureGroup="Range"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Invoice ID]" caption="Count of Invoice ID" measure="1" displayFolder="" measureGroup="Range" count="0" oneField="1" hidden="1">
      <fieldsUsage count="1">
        <fieldUsage x="4"/>
      </fieldsUsage>
      <extLst>
        <ext xmlns:x15="http://schemas.microsoft.com/office/spreadsheetml/2010/11/main" uri="{B97F6D7D-B522-45F9-BDA1-12C45D357490}">
          <x15:cacheHierarchy aggregatedColumn="0"/>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Invoice ID]" caption="Distinct Count of Invoice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6"/>
        </ext>
      </extLst>
    </cacheHierarchy>
    <cacheHierarchy uniqueName="[Measures].[Average of Rating]" caption="Average of Rating" measure="1" displayFolder="" measureGroup="Range" count="0" oneField="1" hidden="1">
      <fieldsUsage count="1">
        <fieldUsage x="5"/>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A77B32-4105-45C1-AE93-6137C915017D}"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Total" fld="1" baseField="0" baseItem="0" numFmtId="2"/>
    <dataField name="Sum of gross income" fld="2" baseField="0" baseItem="0"/>
  </dataFields>
  <formats count="1">
    <format dxfId="5">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A4269-DEF8-4407-91F0-CD9AFDFB481B}"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4">
    <i>
      <x/>
    </i>
    <i i="1">
      <x v="1"/>
    </i>
    <i i="2">
      <x v="2"/>
    </i>
    <i i="3">
      <x v="3"/>
    </i>
  </colItems>
  <dataFields count="4">
    <dataField name="Count of Invoice ID" fld="3" subtotal="count" baseField="0" baseItem="0"/>
    <dataField name="Sum of gross income" fld="4" baseField="0" baseItem="0"/>
    <dataField name="Sum of Total" fld="1" baseField="0" baseItem="0" numFmtId="2"/>
    <dataField name="Sum of Quantity" fld="2" baseField="0" baseItem="0"/>
  </dataFields>
  <formats count="1">
    <format dxfId="4">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86E382-2519-4962-8988-EA4B3FA41D15}"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10" firstHeaderRow="0"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Count of Invoice ID" fld="4" subtotal="count" baseField="0" baseItem="0" numFmtId="1"/>
    <dataField name="Sum of Total" fld="1" baseField="0" baseItem="0"/>
    <dataField name="Sum of gross income" fld="3" baseField="0" baseItem="0"/>
    <dataField name="Sum of Quantity" fld="2" baseField="0" baseItem="0" numFmtId="1"/>
    <dataField name="Average of Rating" fld="5" subtotal="average" baseField="0" baseItem="0"/>
  </dataFields>
  <formats count="3">
    <format dxfId="3">
      <pivotArea outline="0" collapsedLevelsAreSubtotals="1" fieldPosition="0"/>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3"/>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D291EE-5B7A-443B-8E92-F9EE0F1A3055}"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Count of Invoice ID" fld="1" subtotal="count" baseField="0" baseItem="0"/>
    <dataField name="Sum of Total" fld="2" baseField="0" baseItem="0" numFmtId="2"/>
  </dataFields>
  <formats count="1">
    <format dxfId="0">
      <pivotArea outline="0" collapsedLevelsAreSubtotals="1" fieldPosition="0">
        <references count="1">
          <reference field="4294967294" count="1" selected="0">
            <x v="1"/>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DFA5D7-9F96-4259-AE0C-189C3085ADBD}"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name="Count of Invoice ID" fld="1" subtotal="count" baseField="0" baseItem="0"/>
    <dataField name="Sum of Total" fld="3" baseField="0" baseItem="0"/>
    <dataField name="Sum of Quantity" fld="2"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47DC-D68B-4183-B74B-DA184C29FCF0}">
  <dimension ref="A1:Q1001"/>
  <sheetViews>
    <sheetView tabSelected="1" workbookViewId="0">
      <selection sqref="A1:Q1001"/>
    </sheetView>
  </sheetViews>
  <sheetFormatPr defaultRowHeight="14.5" x14ac:dyDescent="0.35"/>
  <cols>
    <col min="6" max="6" width="15.36328125" customWidth="1"/>
    <col min="11" max="11" width="11" customWidth="1"/>
    <col min="13" max="13" width="14.81640625" customWidth="1"/>
    <col min="15" max="15" width="16.1796875" customWidth="1"/>
  </cols>
  <sheetData>
    <row r="1" spans="1:17" s="4" customFormat="1" ht="29"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3" t="s">
        <v>14</v>
      </c>
      <c r="P1" s="4" t="s">
        <v>15</v>
      </c>
      <c r="Q1" s="4" t="s">
        <v>16</v>
      </c>
    </row>
    <row r="2" spans="1:17" x14ac:dyDescent="0.35">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5">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5">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5">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5">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5">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5">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5">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5">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5">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5">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5">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5">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5">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5">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5">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5">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5">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5">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5">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5">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5">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5">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5">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5">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5">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5">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5">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5">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5">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5">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5">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5">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5">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5">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5">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5">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5">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5">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5">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5">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5">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5">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5">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5">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5">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5">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5">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5">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5">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5">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5">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5">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5">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5">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5">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5">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5">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5">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5">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5">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5">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5">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5">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5">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5">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5">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5">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5">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5">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5">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5">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5">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5">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5">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5">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5">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5">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5">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5">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5">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5">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5">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5">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5">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5">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5">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5">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5">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5">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5">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5">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5">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5">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5">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5">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5">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5">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5">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5">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5">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5">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5">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5">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5">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5">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5">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5">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5">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5">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5">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5">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5">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5">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5">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5">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5">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5">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5">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5">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5">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5">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5">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5">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5">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5">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5">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5">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5">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5">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5">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5">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5">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5">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5">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5">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5">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5">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5">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5">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5">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5">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5">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5">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5">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5">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5">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5">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5">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5">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5">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5">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5">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5">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5">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5">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5">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5">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5">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5">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5">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5">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5">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5">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5">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5">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5">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5">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5">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5">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5">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5">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5">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5">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5">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5">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5">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5">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5">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5">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5">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5">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5">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5">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5">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5">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5">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5">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5">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5">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5">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5">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5">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5">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5">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5">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5">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5">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5">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5">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5">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5">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5">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5">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5">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5">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5">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5">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5">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5">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5">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5">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5">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5">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5">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5">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5">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5">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5">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5">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5">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5">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5">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5">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5">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5">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5">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5">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5">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5">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5">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5">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5">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5">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5">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5">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5">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5">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5">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5">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5">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5">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5">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5">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5">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5">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5">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5">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5">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5">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5">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5">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5">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5">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5">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5">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5">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5">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5">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5">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5">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5">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5">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5">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5">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5">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5">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5">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5">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5">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5">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5">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5">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5">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5">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5">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5">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5">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5">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5">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5">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5">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5">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5">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5">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5">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5">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5">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5">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5">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5">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5">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5">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5">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5">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5">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5">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5">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5">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5">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5">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5">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5">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5">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5">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5">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5">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5">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5">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5">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5">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5">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5">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5">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5">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5">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5">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5">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5">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5">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5">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5">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5">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5">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5">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5">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5">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5">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5">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5">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5">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5">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5">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5">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5">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5">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5">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5">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5">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5">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5">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5">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5">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5">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5">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5">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5">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5">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5">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5">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5">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5">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5">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5">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5">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5">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5">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5">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5">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5">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5">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5">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5">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5">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5">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5">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5">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5">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5">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5">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5">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5">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5">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5">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5">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5">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5">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5">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5">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5">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5">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5">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5">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5">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5">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5">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5">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5">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5">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5">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5">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5">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5">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5">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5">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5">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5">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5">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5">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5">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5">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5">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5">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5">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5">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5">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5">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5">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5">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5">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5">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5">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5">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5">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5">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5">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5">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5">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5">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5">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5">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5">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5">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5">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5">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5">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5">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5">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5">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5">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5">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5">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5">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5">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5">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5">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5">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5">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5">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5">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5">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5">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5">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5">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5">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5">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5">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5">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5">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5">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5">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5">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5">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5">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5">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5">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5">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5">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5">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5">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5">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5">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5">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5">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5">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5">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5">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5">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5">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5">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5">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5">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5">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5">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5">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5">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5">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5">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5">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5">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5">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5">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5">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5">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5">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5">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5">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5">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5">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5">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5">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5">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5">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5">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5">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5">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5">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5">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5">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5">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5">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5">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5">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5">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5">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5">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5">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5">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5">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5">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5">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5">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5">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5">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5">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5">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5">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5">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5">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5">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5">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5">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5">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5">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5">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5">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5">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5">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5">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5">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5">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5">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5">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5">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5">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5">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5">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5">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5">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5">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5">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5">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5">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5">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5">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5">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5">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5">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5">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5">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5">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5">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5">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5">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5">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5">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5">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5">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5">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5">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5">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5">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5">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5">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5">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5">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5">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5">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5">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5">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5">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5">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5">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5">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5">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5">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5">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5">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5">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5">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5">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5">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5">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5">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5">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5">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5">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5">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5">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5">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5">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5">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5">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5">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5">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5">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5">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5">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5">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5">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5">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5">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5">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5">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5">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5">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5">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5">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5">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5">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5">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5">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5">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5">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5">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5">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5">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5">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5">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5">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5">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5">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5">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5">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5">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5">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5">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5">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5">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5">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5">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5">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5">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5">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5">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5">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5">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5">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5">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5">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5">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5">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5">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5">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5">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5">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5">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5">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5">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5">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5">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5">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5">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5">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5">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5">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5">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5">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5">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5">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5">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5">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5">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5">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5">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5">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5">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5">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5">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5">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5">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5">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5">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5">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5">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5">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5">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5">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5">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5">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5">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5">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5">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5">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5">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5">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5">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5">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5">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5">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5">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5">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5">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5">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5">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5">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5">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5">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5">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5">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5">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5">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5">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5">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5">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5">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5">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5">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5">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5">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5">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5">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5">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5">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5">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5">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5">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5">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5">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5">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5">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5">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5">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5">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5">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5">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5">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5">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5">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5">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5">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5">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5">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5">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5">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5">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5">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5">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5">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5">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5">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5">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5">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5">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5">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5">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5">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5">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5">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5">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5">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5">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5">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5">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5">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5">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5">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5">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5">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5">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5">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5">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5">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5">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5">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5">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5">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5">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5">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5">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5">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5">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5">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5">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5">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5">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5">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5">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5">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5">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5">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5">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5">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5">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5">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5">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5">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5">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5">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5">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5">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5">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5">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5">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5">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5">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5">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5">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5">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5">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5">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5">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5">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5">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5">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5">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5">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5">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5">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5">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5">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5">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5">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5">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5">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5">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5">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5">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5">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5">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5">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5">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5">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5">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5">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5">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5">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5">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5">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5">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5">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5">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5">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5">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5">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5">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5">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5">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5">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5">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5">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5">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5">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5">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5">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5">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5">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5">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5">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5">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5">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5">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5">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5">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5">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5">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5">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5">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5">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5">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5">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5">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5">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5">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5">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5">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5">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5">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5">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5">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5">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5">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5">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5">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5">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5">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5">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5">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5">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5">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5">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5">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5">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5">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5">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5">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5">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5">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5">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5">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5">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5">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5">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5">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5">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5">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5">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5">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5">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5">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5">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5">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5">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5">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5">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5">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5">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5">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5">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5">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5">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5">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5">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5">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5">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5">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5">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5">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5">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5">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5">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5">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5">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5">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5">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5">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5">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5">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5">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5">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5">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5">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5">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5">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5">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5">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5">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5">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5">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5">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5">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5">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5">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5">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5">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5">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5">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5">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5">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5">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5">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5">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5">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5">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5">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5">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5">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5">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autoFilter ref="A1:Q1001" xr:uid="{152247DC-D68B-4183-B74B-DA184C29FCF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61BB-D2B1-4C61-811A-AB5F32C94271}">
  <dimension ref="A1:J30"/>
  <sheetViews>
    <sheetView zoomScale="70" zoomScaleNormal="95" workbookViewId="0">
      <selection activeCell="G28" sqref="G28"/>
    </sheetView>
  </sheetViews>
  <sheetFormatPr defaultRowHeight="14.5" x14ac:dyDescent="0.35"/>
  <cols>
    <col min="1" max="1" width="30.26953125" customWidth="1"/>
    <col min="2" max="2" width="15.36328125" customWidth="1"/>
    <col min="3" max="3" width="15.1796875" bestFit="1" customWidth="1"/>
    <col min="4" max="4" width="14" customWidth="1"/>
    <col min="5" max="5" width="18.90625" bestFit="1" customWidth="1"/>
    <col min="6" max="6" width="18.54296875" customWidth="1"/>
    <col min="7" max="7" width="13.54296875" customWidth="1"/>
    <col min="8" max="8" width="15.7265625" customWidth="1"/>
    <col min="9" max="9" width="16.81640625" customWidth="1"/>
    <col min="10" max="10" width="17.54296875" customWidth="1"/>
  </cols>
  <sheetData>
    <row r="1" spans="1:10" x14ac:dyDescent="0.35">
      <c r="A1" s="10" t="s">
        <v>1036</v>
      </c>
      <c r="B1" s="10" t="s">
        <v>1037</v>
      </c>
      <c r="E1" s="18" t="s">
        <v>1057</v>
      </c>
      <c r="F1" s="18" t="s">
        <v>1053</v>
      </c>
      <c r="G1" s="18" t="s">
        <v>1049</v>
      </c>
      <c r="H1" s="18" t="s">
        <v>7</v>
      </c>
    </row>
    <row r="2" spans="1:10" x14ac:dyDescent="0.35">
      <c r="A2" t="s">
        <v>1038</v>
      </c>
      <c r="B2" s="11">
        <f>SUM('Source Data'!J2:J1001)</f>
        <v>322966.74900000007</v>
      </c>
      <c r="E2" s="13" t="s">
        <v>1058</v>
      </c>
      <c r="F2" s="12">
        <v>352</v>
      </c>
      <c r="G2" s="16">
        <v>116291.87</v>
      </c>
      <c r="H2" s="17">
        <v>1965</v>
      </c>
    </row>
    <row r="3" spans="1:10" x14ac:dyDescent="0.35">
      <c r="A3" t="s">
        <v>1039</v>
      </c>
      <c r="B3" s="11">
        <f>SUM('Source Data'!N2:N1001)</f>
        <v>307587.38000000035</v>
      </c>
      <c r="E3" s="13" t="s">
        <v>1059</v>
      </c>
      <c r="F3" s="12">
        <v>303</v>
      </c>
      <c r="G3" s="16">
        <v>97219.37</v>
      </c>
      <c r="H3" s="17">
        <v>1654</v>
      </c>
    </row>
    <row r="4" spans="1:10" x14ac:dyDescent="0.35">
      <c r="A4" t="s">
        <v>1040</v>
      </c>
      <c r="B4" s="11">
        <f>SUM('Source Data'!P2:P1001)</f>
        <v>15379.369000000002</v>
      </c>
      <c r="E4" s="13" t="s">
        <v>1060</v>
      </c>
      <c r="F4" s="12">
        <v>345</v>
      </c>
      <c r="G4" s="16">
        <v>109455.51</v>
      </c>
      <c r="H4" s="17">
        <v>1891</v>
      </c>
    </row>
    <row r="5" spans="1:10" x14ac:dyDescent="0.35">
      <c r="A5" t="s">
        <v>1041</v>
      </c>
      <c r="B5" s="9">
        <f>SUM('Source Data'!H2:H1001)</f>
        <v>5510</v>
      </c>
    </row>
    <row r="6" spans="1:10" x14ac:dyDescent="0.35">
      <c r="A6" t="s">
        <v>1042</v>
      </c>
      <c r="B6" s="9">
        <f>COUNTA('Source Data'!A2:A1001)</f>
        <v>1000</v>
      </c>
      <c r="E6" s="14" t="s">
        <v>4</v>
      </c>
      <c r="F6" s="14" t="s">
        <v>1049</v>
      </c>
      <c r="G6" s="14" t="s">
        <v>7</v>
      </c>
      <c r="H6" s="10" t="s">
        <v>1053</v>
      </c>
    </row>
    <row r="7" spans="1:10" x14ac:dyDescent="0.35">
      <c r="A7" t="s">
        <v>1043</v>
      </c>
      <c r="B7" s="11">
        <f>B2/B6</f>
        <v>322.96674900000005</v>
      </c>
      <c r="E7" s="13" t="s">
        <v>21</v>
      </c>
      <c r="F7" s="12">
        <f>GETPIVOTDATA("[Measures].[Sum of Total]",'Pivot-Gender'!$A$3,"[Range].[Gender]","[Range].[Gender].&amp;[Female]")</f>
        <v>167882.92499999999</v>
      </c>
      <c r="G7" s="12">
        <f>GETPIVOTDATA("[Measures].[Sum of Quantity]",'Pivot-Gender'!$A$3,"[Range].[Gender]","[Range].[Gender].&amp;[Female]")</f>
        <v>2869</v>
      </c>
      <c r="H7" s="12">
        <f>GETPIVOTDATA("[Measures].[Count of Invoice ID]",'Pivot-Gender'!$A$3,"[Range].[Gender]","[Range].[Gender].&amp;[Female]")</f>
        <v>501</v>
      </c>
    </row>
    <row r="8" spans="1:10" x14ac:dyDescent="0.35">
      <c r="A8" t="s">
        <v>1091</v>
      </c>
      <c r="B8" s="5">
        <f>GETPIVOTDATA("[Measures].[Average of Rating]",'Pivot-Product Line '!$A$3)</f>
        <v>6.9726999999999997</v>
      </c>
      <c r="E8" s="13" t="s">
        <v>31</v>
      </c>
      <c r="F8" s="12">
        <f>GETPIVOTDATA("[Measures].[Sum of Total]",'Pivot-Gender'!$A$3,"[Range].[Gender]","[Range].[Gender].&amp;[Male]")</f>
        <v>155083.82399999999</v>
      </c>
      <c r="G8" s="12">
        <f>GETPIVOTDATA("[Measures].[Sum of Quantity]",'Pivot-Gender'!$A$3,"[Range].[Gender]","[Range].[Gender].&amp;[Male]")</f>
        <v>2641</v>
      </c>
      <c r="H8" s="12">
        <f>GETPIVOTDATA("[Measures].[Count of Invoice ID]",'Pivot-Gender'!$A$3,"[Range].[Gender]","[Range].[Gender].&amp;[Male]")</f>
        <v>499</v>
      </c>
    </row>
    <row r="10" spans="1:10" x14ac:dyDescent="0.35">
      <c r="A10" s="10" t="s">
        <v>1</v>
      </c>
      <c r="B10" s="10" t="s">
        <v>1049</v>
      </c>
      <c r="C10" s="10" t="s">
        <v>1050</v>
      </c>
      <c r="D10" s="14" t="s">
        <v>1040</v>
      </c>
      <c r="F10" s="10" t="s">
        <v>1052</v>
      </c>
      <c r="G10" s="10" t="s">
        <v>1049</v>
      </c>
      <c r="H10" s="10" t="s">
        <v>7</v>
      </c>
      <c r="I10" s="10" t="s">
        <v>1053</v>
      </c>
      <c r="J10" s="14" t="s">
        <v>1040</v>
      </c>
    </row>
    <row r="11" spans="1:10" x14ac:dyDescent="0.35">
      <c r="A11" t="s">
        <v>18</v>
      </c>
      <c r="B11" s="5">
        <f>GETPIVOTDATA("[Measures].[Sum of Total]",'Pivot-Branch'!$A$3,"[Range].[Branch]","[Range].[Branch].&amp;[A]")</f>
        <v>106200.3705</v>
      </c>
      <c r="C11" s="8">
        <f>B11/$B$2</f>
        <v>0.32882756763297633</v>
      </c>
      <c r="D11" s="24">
        <f>GETPIVOTDATA("[Measures].[Sum of gross income]",'Pivot-Branch'!$A$3,"[Range].[Branch]","[Range].[Branch].&amp;[A]")</f>
        <v>5057.1605</v>
      </c>
      <c r="F11" s="13" t="s">
        <v>20</v>
      </c>
      <c r="G11" s="12">
        <f>GETPIVOTDATA("[Measures].[Sum of Total]",'Pivot-Customer'!$A$3,"[Range].[Customer type]","[Range].[Customer type].&amp;[Member]")</f>
        <v>164223.44399999999</v>
      </c>
      <c r="H11" s="12">
        <f>GETPIVOTDATA("[Measures].[Sum of Quantity]",'Pivot-Customer'!$D$3,"[Range].[Customer type]","[Range].[Customer type].&amp;[Member]")</f>
        <v>2785</v>
      </c>
      <c r="I11" s="12">
        <f>GETPIVOTDATA("[Measures].[Count of Invoice ID]",'Pivot-Customer'!$A$3,"[Range].[Customer type]","[Range].[Customer type].&amp;[Member]")</f>
        <v>501</v>
      </c>
      <c r="J11" s="5">
        <f>GETPIVOTDATA("[Measures].[Sum of gross income]",'Pivot-Customer'!$A$3,"[Range].[Customer type]","[Range].[Customer type].&amp;[Member]")</f>
        <v>7820.1639999999998</v>
      </c>
    </row>
    <row r="12" spans="1:10" x14ac:dyDescent="0.35">
      <c r="A12" t="s">
        <v>42</v>
      </c>
      <c r="B12" s="5">
        <f>GETPIVOTDATA("[Measures].[Sum of Total]",'Pivot-Branch'!$A$3,"[Range].[Branch]","[Range].[Branch].&amp;[B]")</f>
        <v>106197.67200000001</v>
      </c>
      <c r="C12" s="8">
        <f>B12/$B$2</f>
        <v>0.32881921228367689</v>
      </c>
      <c r="D12" s="24">
        <f>GETPIVOTDATA("[Measures].[Sum of gross income]",'Pivot-Branch'!$A$3,"[Range].[Branch]","[Range].[Branch].&amp;[B]")</f>
        <v>5057.0320000000002</v>
      </c>
      <c r="F12" s="13" t="s">
        <v>27</v>
      </c>
      <c r="G12" s="12">
        <f>GETPIVOTDATA("[Measures].[Sum of Total]",'Pivot-Customer'!$A$3,"[Range].[Customer type]","[Range].[Customer type].&amp;[Normal]")</f>
        <v>158743.30499999999</v>
      </c>
      <c r="H12" s="12">
        <f>GETPIVOTDATA("[Measures].[Sum of Quantity]",'Pivot-Customer'!$D$3,"[Range].[Customer type]","[Range].[Customer type].&amp;[Normal]")</f>
        <v>2725</v>
      </c>
      <c r="I12" s="12">
        <f>GETPIVOTDATA("[Measures].[Count of Invoice ID]",'Pivot-Customer'!$A$3,"[Range].[Customer type]","[Range].[Customer type].&amp;[Normal]")</f>
        <v>499</v>
      </c>
      <c r="J12" s="5">
        <f>GETPIVOTDATA("[Measures].[Sum of gross income]",'Pivot-Customer'!$A$3,"[Range].[Customer type]","[Range].[Customer type].&amp;[Normal]")</f>
        <v>7559.2049999999999</v>
      </c>
    </row>
    <row r="13" spans="1:10" x14ac:dyDescent="0.35">
      <c r="A13" t="s">
        <v>25</v>
      </c>
      <c r="B13" s="5">
        <f>GETPIVOTDATA("[Measures].[Sum of Total]",'Pivot-Branch'!$A$3,"[Range].[Branch]","[Range].[Branch].&amp;[C]")</f>
        <v>110568.7065</v>
      </c>
      <c r="C13" s="8">
        <f>B13/$B$2</f>
        <v>0.34235322008334668</v>
      </c>
      <c r="D13" s="24">
        <f>GETPIVOTDATA("[Measures].[Sum of gross income]",'Pivot-Branch'!$A$3,"[Range].[Branch]","[Range].[Branch].&amp;[C]")</f>
        <v>5265.1764999999996</v>
      </c>
    </row>
    <row r="14" spans="1:10" ht="29" x14ac:dyDescent="0.35">
      <c r="E14" s="14" t="s">
        <v>1106</v>
      </c>
      <c r="F14" s="14" t="s">
        <v>1049</v>
      </c>
      <c r="G14" s="14" t="s">
        <v>7</v>
      </c>
      <c r="H14" s="14" t="s">
        <v>1040</v>
      </c>
      <c r="I14" s="10" t="s">
        <v>1053</v>
      </c>
      <c r="J14" s="14" t="s">
        <v>1066</v>
      </c>
    </row>
    <row r="15" spans="1:10" x14ac:dyDescent="0.35">
      <c r="A15" s="10" t="s">
        <v>1054</v>
      </c>
      <c r="B15" s="10" t="s">
        <v>1053</v>
      </c>
      <c r="C15" s="10" t="s">
        <v>1049</v>
      </c>
      <c r="E15" s="7" t="s">
        <v>28</v>
      </c>
      <c r="F15" s="12">
        <f>GETPIVOTDATA("[Measures].[Sum of Total]",'Pivot-Product Line '!$A$3,"[Range].[Product line]","[Range].[Product line].&amp;[Electronic accessories]")</f>
        <v>54337.531499999997</v>
      </c>
      <c r="G15" s="12">
        <f>GETPIVOTDATA("[Measures].[Sum of Quantity]",'Pivot-Product Line '!$A$3,"[Range].[Product line]","[Range].[Product line].&amp;[Electronic accessories]")</f>
        <v>971</v>
      </c>
      <c r="H15" s="12">
        <f>GETPIVOTDATA("[Measures].[Sum of gross income]",'Pivot-Product Line '!$A$3,"[Range].[Product line]","[Range].[Product line].&amp;[Electronic accessories]")</f>
        <v>2587.5014999999999</v>
      </c>
      <c r="I15" s="4">
        <f>GETPIVOTDATA("[Measures].[Count of Invoice ID]",'Pivot-Product Line '!$A$3,"[Range].[Product line]","[Range].[Product line].&amp;[Electronic accessories]")</f>
        <v>170</v>
      </c>
      <c r="J15" s="5">
        <f>F15/I15</f>
        <v>319.63253823529408</v>
      </c>
    </row>
    <row r="16" spans="1:10" x14ac:dyDescent="0.35">
      <c r="A16" s="13" t="s">
        <v>29</v>
      </c>
      <c r="B16" s="12">
        <f>GETPIVOTDATA("[Measures].[Count of Invoice ID]",'Pivot-Payment'!$A$3,"[Range].[Payment]","[Range].[Payment].&amp;[Cash]")</f>
        <v>344</v>
      </c>
      <c r="C16" s="15">
        <f>GETPIVOTDATA("[Measures].[Sum of Total]",'Pivot-Payment'!$A$3,"[Range].[Payment]","[Range].[Payment].&amp;[Cash]")</f>
        <v>112206.57</v>
      </c>
      <c r="D16" s="14"/>
      <c r="E16" s="7" t="s">
        <v>46</v>
      </c>
      <c r="F16" s="12">
        <f>GETPIVOTDATA("[Measures].[Sum of Total]",'Pivot-Product Line '!$A$3,"[Range].[Product line]","[Range].[Product line].&amp;[Fashion accessories]")</f>
        <v>54305.894999999997</v>
      </c>
      <c r="G16" s="12">
        <f>GETPIVOTDATA("[Measures].[Sum of Quantity]",'Pivot-Product Line '!$A$3,"[Range].[Product line]","[Range].[Product line].&amp;[Fashion accessories]")</f>
        <v>902</v>
      </c>
      <c r="H16" s="12">
        <f>GETPIVOTDATA("[Measures].[Sum of gross income]",'Pivot-Product Line '!$A$3,"[Range].[Product line]","[Range].[Product line].&amp;[Fashion accessories]")</f>
        <v>2585.9949999999999</v>
      </c>
      <c r="I16">
        <f>GETPIVOTDATA("[Measures].[Count of Invoice ID]",'Pivot-Product Line '!$A$3,"[Range].[Product line]","[Range].[Product line].&amp;[Fashion accessories]")</f>
        <v>178</v>
      </c>
      <c r="J16" s="5">
        <f t="shared" ref="J16:J20" si="0">F16/I16</f>
        <v>305.08929775280899</v>
      </c>
    </row>
    <row r="17" spans="1:10" x14ac:dyDescent="0.35">
      <c r="A17" s="13" t="s">
        <v>1055</v>
      </c>
      <c r="B17" s="12">
        <f>GETPIVOTDATA("[Measures].[Count of Invoice ID]",'Pivot-Payment'!$A$3,"[Range].[Payment]","[Range].[Payment].&amp;[Credit card]")</f>
        <v>311</v>
      </c>
      <c r="C17" s="15">
        <f>GETPIVOTDATA("[Measures].[Sum of Total]",'Pivot-Payment'!$A$3,"[Range].[Payment]","[Range].[Payment].&amp;[Credit card]")</f>
        <v>100767.072</v>
      </c>
      <c r="D17" s="12"/>
      <c r="E17" s="7" t="s">
        <v>44</v>
      </c>
      <c r="F17" s="13">
        <f>GETPIVOTDATA("[Measures].[Sum of Total]",'Pivot-Product Line '!$A$3,"[Range].[Product line]","[Range].[Product line].&amp;[Food and beverages]")</f>
        <v>56144.843999999997</v>
      </c>
      <c r="G17" s="12">
        <f>GETPIVOTDATA("[Measures].[Sum of Quantity]",'Pivot-Product Line '!$A$3,"[Range].[Product line]","[Range].[Product line].&amp;[Food and beverages]")</f>
        <v>952</v>
      </c>
      <c r="H17" s="15">
        <f>GETPIVOTDATA("[Measures].[Sum of gross income]",'Pivot-Product Line '!$A$3,"[Range].[Product line]","[Range].[Product line].&amp;[Food and beverages]")</f>
        <v>2673.5639999999999</v>
      </c>
      <c r="I17">
        <f>GETPIVOTDATA("[Measures].[Count of Invoice ID]",'Pivot-Product Line '!$A$3,"[Range].[Product line]","[Range].[Product line].&amp;[Food and beverages]")</f>
        <v>174</v>
      </c>
      <c r="J17" s="5">
        <f t="shared" si="0"/>
        <v>322.67151724137932</v>
      </c>
    </row>
    <row r="18" spans="1:10" x14ac:dyDescent="0.35">
      <c r="A18" s="13" t="s">
        <v>1056</v>
      </c>
      <c r="B18" s="12">
        <f>GETPIVOTDATA("[Measures].[Count of Invoice ID]",'Pivot-Payment'!$A$3,"[Range].[Payment]","[Range].[Payment].&amp;[Ewallet]")</f>
        <v>345</v>
      </c>
      <c r="C18" s="15">
        <f>GETPIVOTDATA("[Measures].[Sum of Total]",'Pivot-Payment'!$A$3,"[Range].[Payment]","[Range].[Payment].&amp;[Ewallet]")</f>
        <v>109993.107</v>
      </c>
      <c r="D18" s="12"/>
      <c r="E18" s="7" t="s">
        <v>22</v>
      </c>
      <c r="F18" s="13">
        <f>GETPIVOTDATA("[Measures].[Sum of Total]",'Pivot-Product Line '!$A$3,"[Range].[Product line]","[Range].[Product line].&amp;[Health and beauty]")</f>
        <v>49193.739000000001</v>
      </c>
      <c r="G18" s="12">
        <f>GETPIVOTDATA("[Measures].[Sum of Quantity]",'Pivot-Product Line '!$A$3,"[Range].[Product line]","[Range].[Product line].&amp;[Health and beauty]")</f>
        <v>854</v>
      </c>
      <c r="H18" s="15">
        <f>GETPIVOTDATA("[Measures].[Sum of gross income]",'Pivot-Product Line '!$A$3,"[Range].[Product line]","[Range].[Product line].&amp;[Health and beauty]")</f>
        <v>2342.5590000000002</v>
      </c>
      <c r="I18">
        <f>GETPIVOTDATA("[Measures].[Count of Invoice ID]",'Pivot-Product Line '!$A$3,"[Range].[Product line]","[Range].[Product line].&amp;[Health and beauty]")</f>
        <v>152</v>
      </c>
      <c r="J18" s="5">
        <f t="shared" si="0"/>
        <v>323.64301973684212</v>
      </c>
    </row>
    <row r="19" spans="1:10" x14ac:dyDescent="0.35">
      <c r="E19" s="7" t="s">
        <v>32</v>
      </c>
      <c r="F19">
        <f>GETPIVOTDATA("[Measures].[Sum of Total]",'Pivot-Product Line '!$A$3,"[Range].[Product line]","[Range].[Product line].&amp;[Home and lifestyle]")</f>
        <v>53861.913</v>
      </c>
      <c r="G19">
        <f>GETPIVOTDATA("[Measures].[Sum of Quantity]",'Pivot-Product Line '!$A$3,"[Range].[Product line]","[Range].[Product line].&amp;[Home and lifestyle]")</f>
        <v>911</v>
      </c>
      <c r="H19">
        <f>GETPIVOTDATA("[Measures].[Sum of gross income]",'Pivot-Product Line '!$A$3,"[Range].[Product line]","[Range].[Product line].&amp;[Home and lifestyle]")</f>
        <v>2564.8530000000001</v>
      </c>
      <c r="I19">
        <f>GETPIVOTDATA("[Measures].[Count of Invoice ID]",'Pivot-Product Line '!$A$3,"[Range].[Product line]","[Range].[Product line].&amp;[Home and lifestyle]")</f>
        <v>160</v>
      </c>
      <c r="J19" s="5">
        <f t="shared" si="0"/>
        <v>336.63695625000003</v>
      </c>
    </row>
    <row r="20" spans="1:10" x14ac:dyDescent="0.35">
      <c r="E20" s="7" t="s">
        <v>36</v>
      </c>
      <c r="F20">
        <f>GETPIVOTDATA("[Measures].[Sum of Total]",'Pivot-Product Line '!$A$3,"[Range].[Product line]","[Range].[Product line].&amp;[Sports and travel]")</f>
        <v>55122.826500000003</v>
      </c>
      <c r="G20">
        <f>GETPIVOTDATA("[Measures].[Sum of Quantity]",'Pivot-Product Line '!$A$3,"[Range].[Product line]","[Range].[Product line].&amp;[Sports and travel]")</f>
        <v>920</v>
      </c>
      <c r="H20">
        <f>GETPIVOTDATA("[Measures].[Sum of gross income]",'Pivot-Product Line '!$A$3,"[Range].[Product line]","[Range].[Product line].&amp;[Sports and travel]")</f>
        <v>2624.8964999999998</v>
      </c>
      <c r="I20">
        <f>GETPIVOTDATA("[Measures].[Count of Invoice ID]",'Pivot-Product Line '!$A$3,"[Range].[Product line]","[Range].[Product line].&amp;[Sports and travel]")</f>
        <v>166</v>
      </c>
      <c r="J20" s="5">
        <f t="shared" si="0"/>
        <v>332.06521987951811</v>
      </c>
    </row>
    <row r="23" spans="1:10" ht="43.5" x14ac:dyDescent="0.35">
      <c r="A23" s="19" t="s">
        <v>1061</v>
      </c>
      <c r="B23" s="20" t="s">
        <v>1049</v>
      </c>
      <c r="C23" s="20" t="s">
        <v>1053</v>
      </c>
      <c r="D23" s="20" t="s">
        <v>1062</v>
      </c>
      <c r="F23" s="19" t="s">
        <v>1061</v>
      </c>
      <c r="G23" s="20" t="s">
        <v>1049</v>
      </c>
      <c r="H23" s="20" t="s">
        <v>1053</v>
      </c>
      <c r="I23" s="20" t="s">
        <v>1062</v>
      </c>
    </row>
    <row r="24" spans="1:10" ht="19" customHeight="1" x14ac:dyDescent="0.35">
      <c r="A24" s="13" t="s">
        <v>1063</v>
      </c>
      <c r="B24" s="12">
        <v>106200.37</v>
      </c>
      <c r="C24" s="12">
        <v>340</v>
      </c>
      <c r="D24" s="15">
        <f>B24/C24</f>
        <v>312.35402941176471</v>
      </c>
      <c r="F24" s="21" t="s">
        <v>20</v>
      </c>
      <c r="G24" s="22">
        <v>164223.44399999999</v>
      </c>
      <c r="H24" s="22">
        <v>501</v>
      </c>
      <c r="I24" s="23">
        <f>G24/H24</f>
        <v>327.79130538922152</v>
      </c>
    </row>
    <row r="25" spans="1:10" ht="21.5" customHeight="1" x14ac:dyDescent="0.35">
      <c r="A25" s="13" t="s">
        <v>1064</v>
      </c>
      <c r="B25" s="12">
        <v>106197.67</v>
      </c>
      <c r="C25" s="12">
        <v>332</v>
      </c>
      <c r="D25" s="15">
        <f t="shared" ref="D25:D26" si="1">B25/C25</f>
        <v>319.8725</v>
      </c>
      <c r="F25" s="21" t="s">
        <v>27</v>
      </c>
      <c r="G25" s="22">
        <v>158743.30499999999</v>
      </c>
      <c r="H25" s="22">
        <v>499</v>
      </c>
      <c r="I25" s="23">
        <f>G25/H25</f>
        <v>318.12285571142286</v>
      </c>
    </row>
    <row r="26" spans="1:10" x14ac:dyDescent="0.35">
      <c r="A26" s="13" t="s">
        <v>1065</v>
      </c>
      <c r="B26" s="12">
        <v>110568.71</v>
      </c>
      <c r="C26" s="12">
        <v>328</v>
      </c>
      <c r="D26" s="15">
        <f t="shared" si="1"/>
        <v>337.09972560975609</v>
      </c>
    </row>
    <row r="28" spans="1:10" ht="43.5" x14ac:dyDescent="0.35">
      <c r="A28" s="19" t="s">
        <v>1061</v>
      </c>
      <c r="B28" s="20" t="s">
        <v>1049</v>
      </c>
      <c r="C28" s="20" t="s">
        <v>1053</v>
      </c>
      <c r="D28" s="20" t="s">
        <v>1062</v>
      </c>
    </row>
    <row r="29" spans="1:10" x14ac:dyDescent="0.35">
      <c r="A29" s="13" t="s">
        <v>21</v>
      </c>
      <c r="B29" s="12">
        <v>167882.92499999999</v>
      </c>
      <c r="C29" s="12">
        <v>501</v>
      </c>
      <c r="D29" s="15">
        <f>B29/C29</f>
        <v>335.09565868263473</v>
      </c>
    </row>
    <row r="30" spans="1:10" x14ac:dyDescent="0.35">
      <c r="A30" s="13" t="s">
        <v>31</v>
      </c>
      <c r="B30" s="12">
        <v>155083.82399999999</v>
      </c>
      <c r="C30" s="12">
        <v>499</v>
      </c>
      <c r="D30" s="15">
        <f>B30/C30</f>
        <v>310.78922645290578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416B1-1D6B-4252-95A6-623D1FEB9681}">
  <dimension ref="A1:J40"/>
  <sheetViews>
    <sheetView workbookViewId="0">
      <selection activeCell="F12" sqref="F12"/>
    </sheetView>
  </sheetViews>
  <sheetFormatPr defaultRowHeight="14.5" x14ac:dyDescent="0.35"/>
  <cols>
    <col min="1" max="1" width="28.90625" customWidth="1"/>
    <col min="2" max="2" width="15.36328125" customWidth="1"/>
    <col min="3" max="3" width="15.1796875" bestFit="1" customWidth="1"/>
    <col min="4" max="4" width="14" customWidth="1"/>
    <col min="5" max="5" width="18.90625" bestFit="1" customWidth="1"/>
    <col min="6" max="6" width="18.54296875" customWidth="1"/>
    <col min="7" max="7" width="13.54296875" customWidth="1"/>
    <col min="8" max="8" width="15.7265625" customWidth="1"/>
    <col min="9" max="9" width="16.81640625" customWidth="1"/>
    <col min="10" max="10" width="17.54296875" customWidth="1"/>
  </cols>
  <sheetData>
    <row r="1" spans="1:10" x14ac:dyDescent="0.35">
      <c r="A1" s="28" t="s">
        <v>1081</v>
      </c>
      <c r="B1" s="28"/>
      <c r="C1" s="28"/>
    </row>
    <row r="3" spans="1:10" x14ac:dyDescent="0.35">
      <c r="A3" s="10" t="s">
        <v>1036</v>
      </c>
      <c r="B3" s="10" t="s">
        <v>1037</v>
      </c>
      <c r="E3" s="18"/>
      <c r="F3" s="18"/>
      <c r="G3" s="18"/>
      <c r="H3" s="18"/>
    </row>
    <row r="4" spans="1:10" x14ac:dyDescent="0.35">
      <c r="A4" t="s">
        <v>1038</v>
      </c>
      <c r="B4" s="11">
        <f>SUM('Source Data'!J2:J1001)</f>
        <v>322966.74900000007</v>
      </c>
      <c r="E4" s="13"/>
      <c r="F4" s="12"/>
      <c r="G4" s="16"/>
      <c r="H4" s="17"/>
    </row>
    <row r="5" spans="1:10" x14ac:dyDescent="0.35">
      <c r="A5" t="s">
        <v>1039</v>
      </c>
      <c r="B5" s="11">
        <f>SUM('Source Data'!N2:N1001)</f>
        <v>307587.38000000035</v>
      </c>
      <c r="E5" s="13"/>
      <c r="F5" s="12"/>
      <c r="G5" s="16"/>
      <c r="H5" s="17"/>
    </row>
    <row r="6" spans="1:10" x14ac:dyDescent="0.35">
      <c r="A6" t="s">
        <v>1040</v>
      </c>
      <c r="B6" s="11">
        <f>SUM('Source Data'!P2:P1001)</f>
        <v>15379.369000000002</v>
      </c>
      <c r="E6" s="13"/>
      <c r="F6" s="12"/>
      <c r="G6" s="16"/>
      <c r="H6" s="17"/>
    </row>
    <row r="7" spans="1:10" x14ac:dyDescent="0.35">
      <c r="A7" t="s">
        <v>1041</v>
      </c>
      <c r="B7" s="9">
        <f>SUM('Source Data'!H2:H1001)</f>
        <v>5510</v>
      </c>
    </row>
    <row r="8" spans="1:10" x14ac:dyDescent="0.35">
      <c r="A8" t="s">
        <v>1042</v>
      </c>
      <c r="B8" s="9">
        <f>COUNTA('Source Data'!A2:A1001)</f>
        <v>1000</v>
      </c>
      <c r="E8" s="14"/>
      <c r="F8" s="14"/>
      <c r="G8" s="14"/>
      <c r="H8" s="10"/>
    </row>
    <row r="9" spans="1:10" x14ac:dyDescent="0.35">
      <c r="A9" t="s">
        <v>1043</v>
      </c>
      <c r="B9" s="11">
        <f>B4/B8</f>
        <v>322.96674900000005</v>
      </c>
      <c r="E9" s="13"/>
      <c r="F9" s="12"/>
      <c r="G9" s="12"/>
      <c r="H9" s="12"/>
    </row>
    <row r="10" spans="1:10" x14ac:dyDescent="0.35">
      <c r="A10" t="s">
        <v>1091</v>
      </c>
      <c r="B10" s="5">
        <f>Analysis!B8</f>
        <v>6.9726999999999997</v>
      </c>
      <c r="E10" s="13"/>
      <c r="F10" s="12"/>
      <c r="G10" s="12"/>
      <c r="H10" s="12"/>
    </row>
    <row r="11" spans="1:10" x14ac:dyDescent="0.35">
      <c r="E11" s="13"/>
      <c r="F11" s="12"/>
      <c r="G11" s="12"/>
      <c r="H11" s="12"/>
    </row>
    <row r="13" spans="1:10" x14ac:dyDescent="0.35">
      <c r="A13" s="10" t="s">
        <v>1</v>
      </c>
      <c r="B13" s="10" t="s">
        <v>1049</v>
      </c>
      <c r="C13" s="10" t="s">
        <v>1050</v>
      </c>
      <c r="D13" s="14"/>
      <c r="F13" s="10"/>
      <c r="G13" s="10"/>
      <c r="H13" s="10"/>
      <c r="I13" s="10"/>
      <c r="J13" s="14"/>
    </row>
    <row r="14" spans="1:10" x14ac:dyDescent="0.35">
      <c r="A14" t="s">
        <v>18</v>
      </c>
      <c r="B14" s="5">
        <f>GETPIVOTDATA("[Measures].[Sum of Total]",'Pivot-Branch'!$A$3,"[Range].[Branch]","[Range].[Branch].&amp;[A]")</f>
        <v>106200.3705</v>
      </c>
      <c r="C14" s="8">
        <f>B14/$B$4</f>
        <v>0.32882756763297633</v>
      </c>
      <c r="D14" s="24"/>
      <c r="F14" s="13"/>
      <c r="G14" s="12"/>
      <c r="H14" s="12"/>
      <c r="I14" s="12"/>
      <c r="J14" s="5"/>
    </row>
    <row r="15" spans="1:10" x14ac:dyDescent="0.35">
      <c r="A15" t="s">
        <v>42</v>
      </c>
      <c r="B15" s="5">
        <f>GETPIVOTDATA("[Measures].[Sum of Total]",'Pivot-Branch'!$A$3,"[Range].[Branch]","[Range].[Branch].&amp;[B]")</f>
        <v>106197.67200000001</v>
      </c>
      <c r="C15" s="8">
        <f>B15/$B$4</f>
        <v>0.32881921228367689</v>
      </c>
      <c r="D15" s="24"/>
      <c r="F15" s="13"/>
      <c r="G15" s="12"/>
      <c r="H15" s="12"/>
      <c r="I15" s="12"/>
      <c r="J15" s="5"/>
    </row>
    <row r="16" spans="1:10" x14ac:dyDescent="0.35">
      <c r="A16" t="s">
        <v>25</v>
      </c>
      <c r="B16" s="5">
        <f>GETPIVOTDATA("[Measures].[Sum of Total]",'Pivot-Branch'!$A$3,"[Range].[Branch]","[Range].[Branch].&amp;[C]")</f>
        <v>110568.7065</v>
      </c>
      <c r="C16" s="8">
        <f>B16/$B$4</f>
        <v>0.34235322008334668</v>
      </c>
      <c r="D16" s="24"/>
    </row>
    <row r="18" spans="1:6" x14ac:dyDescent="0.35">
      <c r="A18" s="10" t="s">
        <v>1068</v>
      </c>
    </row>
    <row r="20" spans="1:6" x14ac:dyDescent="0.35">
      <c r="A20" s="10" t="s">
        <v>1069</v>
      </c>
    </row>
    <row r="21" spans="1:6" x14ac:dyDescent="0.35">
      <c r="A21" s="30" t="s">
        <v>1070</v>
      </c>
      <c r="B21" s="30"/>
      <c r="C21" s="30"/>
      <c r="D21" s="30"/>
      <c r="E21" s="30"/>
    </row>
    <row r="23" spans="1:6" x14ac:dyDescent="0.35">
      <c r="A23" s="10" t="s">
        <v>1071</v>
      </c>
    </row>
    <row r="24" spans="1:6" x14ac:dyDescent="0.35">
      <c r="A24" s="30" t="s">
        <v>1072</v>
      </c>
      <c r="B24" s="30"/>
      <c r="C24" s="30"/>
      <c r="D24" s="30"/>
      <c r="E24" s="30"/>
      <c r="F24" s="30"/>
    </row>
    <row r="26" spans="1:6" x14ac:dyDescent="0.35">
      <c r="A26" s="10" t="s">
        <v>1073</v>
      </c>
    </row>
    <row r="27" spans="1:6" x14ac:dyDescent="0.35">
      <c r="A27" s="30" t="s">
        <v>1074</v>
      </c>
      <c r="B27" s="30"/>
      <c r="C27" s="30"/>
      <c r="D27" s="30"/>
      <c r="E27" s="30"/>
    </row>
    <row r="29" spans="1:6" x14ac:dyDescent="0.35">
      <c r="A29" s="10" t="s">
        <v>1075</v>
      </c>
    </row>
    <row r="30" spans="1:6" x14ac:dyDescent="0.35">
      <c r="A30" s="30" t="s">
        <v>1076</v>
      </c>
      <c r="B30" s="30"/>
      <c r="C30" s="30"/>
      <c r="D30" s="30"/>
      <c r="E30" s="30"/>
    </row>
    <row r="32" spans="1:6" x14ac:dyDescent="0.35">
      <c r="A32" s="10" t="s">
        <v>1077</v>
      </c>
    </row>
    <row r="33" spans="1:5" x14ac:dyDescent="0.35">
      <c r="A33" s="30" t="s">
        <v>1078</v>
      </c>
      <c r="B33" s="30"/>
      <c r="C33" s="30"/>
      <c r="D33" s="30"/>
      <c r="E33" s="30"/>
    </row>
    <row r="35" spans="1:5" x14ac:dyDescent="0.35">
      <c r="A35" s="10" t="s">
        <v>1079</v>
      </c>
    </row>
    <row r="36" spans="1:5" x14ac:dyDescent="0.35">
      <c r="A36" s="30" t="s">
        <v>1080</v>
      </c>
      <c r="B36" s="30"/>
      <c r="C36" s="30"/>
      <c r="D36" s="30"/>
      <c r="E36" s="30"/>
    </row>
    <row r="38" spans="1:5" x14ac:dyDescent="0.35">
      <c r="A38" s="10" t="s">
        <v>1082</v>
      </c>
    </row>
    <row r="40" spans="1:5" ht="52.5" customHeight="1" x14ac:dyDescent="0.35">
      <c r="A40" s="29" t="s">
        <v>1083</v>
      </c>
      <c r="B40" s="29"/>
      <c r="C40" s="29"/>
      <c r="D40" s="29"/>
    </row>
  </sheetData>
  <mergeCells count="8">
    <mergeCell ref="A1:C1"/>
    <mergeCell ref="A40:D40"/>
    <mergeCell ref="A21:E21"/>
    <mergeCell ref="A24:F24"/>
    <mergeCell ref="A27:E27"/>
    <mergeCell ref="A30:E30"/>
    <mergeCell ref="A33:E33"/>
    <mergeCell ref="A36:E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9A4D-477B-4CDF-9825-0E154AB5ED7F}">
  <dimension ref="B1:R53"/>
  <sheetViews>
    <sheetView zoomScale="54" zoomScaleNormal="54" zoomScaleSheetLayoutView="55" workbookViewId="0">
      <selection activeCell="P37" sqref="P37"/>
    </sheetView>
  </sheetViews>
  <sheetFormatPr defaultRowHeight="14.5" x14ac:dyDescent="0.35"/>
  <cols>
    <col min="3" max="3" width="10.6328125" customWidth="1"/>
    <col min="4" max="4" width="4.6328125" customWidth="1"/>
    <col min="6" max="6" width="15.81640625" customWidth="1"/>
    <col min="7" max="7" width="4.6328125" customWidth="1"/>
    <col min="9" max="9" width="10.453125" customWidth="1"/>
    <col min="10" max="10" width="5.08984375" customWidth="1"/>
    <col min="11" max="11" width="13" customWidth="1"/>
    <col min="13" max="13" width="4.6328125" customWidth="1"/>
    <col min="14" max="14" width="18.90625" customWidth="1"/>
    <col min="15" max="15" width="14.453125" customWidth="1"/>
    <col min="16" max="16" width="4.90625" customWidth="1"/>
  </cols>
  <sheetData>
    <row r="1" spans="2:18" ht="23.5" x14ac:dyDescent="0.55000000000000004">
      <c r="G1" s="39" t="s">
        <v>1084</v>
      </c>
      <c r="H1" s="39"/>
      <c r="I1" s="39"/>
      <c r="J1" s="39"/>
      <c r="K1" s="39"/>
      <c r="L1" s="39"/>
      <c r="M1" s="39"/>
      <c r="N1" s="39"/>
    </row>
    <row r="2" spans="2:18" x14ac:dyDescent="0.35">
      <c r="J2" s="35" t="s">
        <v>1085</v>
      </c>
      <c r="K2" s="35"/>
      <c r="L2" s="35"/>
    </row>
    <row r="3" spans="2:18" ht="8" customHeight="1" x14ac:dyDescent="0.35">
      <c r="J3" s="26"/>
      <c r="K3" s="26"/>
      <c r="L3" s="26"/>
    </row>
    <row r="4" spans="2:18" s="10" customFormat="1" ht="19" customHeight="1" x14ac:dyDescent="0.35">
      <c r="B4" s="34" t="s">
        <v>1086</v>
      </c>
      <c r="C4" s="34"/>
      <c r="E4" s="34" t="s">
        <v>1087</v>
      </c>
      <c r="F4" s="34"/>
      <c r="H4" s="34" t="s">
        <v>1092</v>
      </c>
      <c r="I4" s="34"/>
      <c r="K4" s="34" t="s">
        <v>1088</v>
      </c>
      <c r="L4" s="34"/>
      <c r="N4" s="34" t="s">
        <v>1089</v>
      </c>
      <c r="O4" s="34"/>
      <c r="Q4" s="34" t="s">
        <v>1090</v>
      </c>
      <c r="R4" s="34"/>
    </row>
    <row r="5" spans="2:18" s="25" customFormat="1" ht="27" customHeight="1" x14ac:dyDescent="0.55000000000000004">
      <c r="B5" s="33">
        <f>'Management Summary'!B4</f>
        <v>322966.74900000007</v>
      </c>
      <c r="C5" s="33"/>
      <c r="E5" s="33">
        <f>'Management Summary'!B6</f>
        <v>15379.369000000002</v>
      </c>
      <c r="F5" s="33"/>
      <c r="H5" s="38">
        <f>'Management Summary'!B8</f>
        <v>1000</v>
      </c>
      <c r="I5" s="38"/>
      <c r="K5" s="38">
        <f>'Management Summary'!B7</f>
        <v>5510</v>
      </c>
      <c r="L5" s="38"/>
      <c r="N5" s="33">
        <f>'Management Summary'!B9</f>
        <v>322.96674900000005</v>
      </c>
      <c r="O5" s="33"/>
      <c r="Q5" s="36">
        <f>'Management Summary'!B10</f>
        <v>6.9726999999999997</v>
      </c>
      <c r="R5" s="37"/>
    </row>
    <row r="37" spans="2:6" x14ac:dyDescent="0.35">
      <c r="B37" s="32" t="s">
        <v>1093</v>
      </c>
      <c r="C37" s="32"/>
      <c r="D37" s="32"/>
      <c r="E37" s="32"/>
      <c r="F37" s="32"/>
    </row>
    <row r="38" spans="2:6" x14ac:dyDescent="0.35">
      <c r="B38" s="31" t="s">
        <v>1094</v>
      </c>
      <c r="C38" s="32"/>
      <c r="D38" s="32"/>
      <c r="E38" s="32"/>
      <c r="F38" s="32"/>
    </row>
    <row r="39" spans="2:6" x14ac:dyDescent="0.35">
      <c r="B39" s="32"/>
      <c r="C39" s="32"/>
      <c r="D39" s="32"/>
      <c r="E39" s="32"/>
      <c r="F39" s="32"/>
    </row>
    <row r="40" spans="2:6" x14ac:dyDescent="0.35">
      <c r="B40" s="32"/>
      <c r="C40" s="32"/>
      <c r="D40" s="32"/>
      <c r="E40" s="32"/>
      <c r="F40" s="32"/>
    </row>
    <row r="41" spans="2:6" x14ac:dyDescent="0.35">
      <c r="B41" s="32"/>
      <c r="C41" s="32"/>
      <c r="D41" s="32"/>
      <c r="E41" s="32"/>
      <c r="F41" s="32"/>
    </row>
    <row r="42" spans="2:6" x14ac:dyDescent="0.35">
      <c r="B42" s="32"/>
      <c r="C42" s="32"/>
      <c r="D42" s="32"/>
      <c r="E42" s="32"/>
      <c r="F42" s="32"/>
    </row>
    <row r="43" spans="2:6" x14ac:dyDescent="0.35">
      <c r="B43" s="32"/>
      <c r="C43" s="32"/>
      <c r="D43" s="32"/>
      <c r="E43" s="32"/>
      <c r="F43" s="32"/>
    </row>
    <row r="44" spans="2:6" x14ac:dyDescent="0.35">
      <c r="B44" s="32"/>
      <c r="C44" s="32"/>
      <c r="D44" s="32"/>
      <c r="E44" s="32"/>
      <c r="F44" s="32"/>
    </row>
    <row r="45" spans="2:6" x14ac:dyDescent="0.35">
      <c r="B45" s="32"/>
      <c r="C45" s="32"/>
      <c r="D45" s="32"/>
      <c r="E45" s="32"/>
      <c r="F45" s="32"/>
    </row>
    <row r="46" spans="2:6" x14ac:dyDescent="0.35">
      <c r="B46" s="32"/>
      <c r="C46" s="32"/>
      <c r="D46" s="32"/>
      <c r="E46" s="32"/>
      <c r="F46" s="32"/>
    </row>
    <row r="47" spans="2:6" x14ac:dyDescent="0.35">
      <c r="B47" s="32"/>
      <c r="C47" s="32"/>
      <c r="D47" s="32"/>
      <c r="E47" s="32"/>
      <c r="F47" s="32"/>
    </row>
    <row r="48" spans="2:6" x14ac:dyDescent="0.35">
      <c r="B48" s="32"/>
      <c r="C48" s="32"/>
      <c r="D48" s="32"/>
      <c r="E48" s="32"/>
      <c r="F48" s="32"/>
    </row>
    <row r="49" spans="2:6" x14ac:dyDescent="0.35">
      <c r="B49" s="32"/>
      <c r="C49" s="32"/>
      <c r="D49" s="32"/>
      <c r="E49" s="32"/>
      <c r="F49" s="32"/>
    </row>
    <row r="50" spans="2:6" x14ac:dyDescent="0.35">
      <c r="B50" s="32"/>
      <c r="C50" s="32"/>
      <c r="D50" s="32"/>
      <c r="E50" s="32"/>
      <c r="F50" s="32"/>
    </row>
    <row r="51" spans="2:6" x14ac:dyDescent="0.35">
      <c r="B51" s="32"/>
      <c r="C51" s="32"/>
      <c r="D51" s="32"/>
      <c r="E51" s="32"/>
      <c r="F51" s="32"/>
    </row>
    <row r="52" spans="2:6" x14ac:dyDescent="0.35">
      <c r="B52" s="32"/>
      <c r="C52" s="32"/>
      <c r="D52" s="32"/>
      <c r="E52" s="32"/>
      <c r="F52" s="32"/>
    </row>
    <row r="53" spans="2:6" x14ac:dyDescent="0.35">
      <c r="B53" s="32"/>
      <c r="C53" s="32"/>
      <c r="D53" s="32"/>
      <c r="E53" s="32"/>
      <c r="F53" s="32"/>
    </row>
  </sheetData>
  <mergeCells count="16">
    <mergeCell ref="G1:N1"/>
    <mergeCell ref="Q5:R5"/>
    <mergeCell ref="N5:O5"/>
    <mergeCell ref="K5:L5"/>
    <mergeCell ref="H5:I5"/>
    <mergeCell ref="E4:F4"/>
    <mergeCell ref="J2:L2"/>
    <mergeCell ref="Q4:R4"/>
    <mergeCell ref="N4:O4"/>
    <mergeCell ref="K4:L4"/>
    <mergeCell ref="H4:I4"/>
    <mergeCell ref="B38:F53"/>
    <mergeCell ref="B37:F37"/>
    <mergeCell ref="E5:F5"/>
    <mergeCell ref="B5:C5"/>
    <mergeCell ref="B4:C4"/>
  </mergeCells>
  <pageMargins left="0.7" right="0.7" top="0.75" bottom="0.75" header="0.3" footer="0.3"/>
  <pageSetup scale="6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2FD6D-4EF3-4A7B-BBEF-CF314407641D}">
  <dimension ref="B1:N59"/>
  <sheetViews>
    <sheetView topLeftCell="A49" workbookViewId="0">
      <selection activeCell="I27" sqref="I27:N27"/>
    </sheetView>
  </sheetViews>
  <sheetFormatPr defaultRowHeight="14.5" x14ac:dyDescent="0.35"/>
  <sheetData>
    <row r="1" spans="2:14" ht="23.5" x14ac:dyDescent="0.55000000000000004">
      <c r="D1" s="39" t="s">
        <v>1095</v>
      </c>
      <c r="E1" s="39"/>
      <c r="F1" s="39"/>
      <c r="G1" s="39"/>
      <c r="H1" s="39"/>
      <c r="I1" s="39"/>
      <c r="J1" s="39"/>
      <c r="K1" s="39"/>
      <c r="L1" s="39"/>
    </row>
    <row r="2" spans="2:14" x14ac:dyDescent="0.35">
      <c r="G2" s="35" t="s">
        <v>1085</v>
      </c>
      <c r="H2" s="35"/>
      <c r="I2" s="35"/>
    </row>
    <row r="4" spans="2:14" ht="15.5" x14ac:dyDescent="0.35">
      <c r="B4" s="41" t="s">
        <v>1096</v>
      </c>
      <c r="C4" s="41"/>
      <c r="D4" s="41"/>
      <c r="E4" s="41"/>
      <c r="F4" s="41"/>
      <c r="G4" s="41"/>
      <c r="I4" s="41" t="s">
        <v>1097</v>
      </c>
      <c r="J4" s="41"/>
      <c r="K4" s="41"/>
      <c r="L4" s="41"/>
      <c r="M4" s="41"/>
      <c r="N4" s="41"/>
    </row>
    <row r="5" spans="2:14" ht="14.5" customHeight="1" x14ac:dyDescent="0.35">
      <c r="B5" s="40" t="s">
        <v>1100</v>
      </c>
      <c r="C5" s="40"/>
      <c r="D5" s="40"/>
      <c r="E5" s="40"/>
      <c r="F5" s="40"/>
      <c r="G5" s="40"/>
      <c r="I5" s="40" t="s">
        <v>1101</v>
      </c>
      <c r="J5" s="40"/>
      <c r="K5" s="40"/>
      <c r="L5" s="40"/>
      <c r="M5" s="40"/>
      <c r="N5" s="40"/>
    </row>
    <row r="6" spans="2:14" x14ac:dyDescent="0.35">
      <c r="B6" s="40"/>
      <c r="C6" s="40"/>
      <c r="D6" s="40"/>
      <c r="E6" s="40"/>
      <c r="F6" s="40"/>
      <c r="G6" s="40"/>
      <c r="I6" s="40"/>
      <c r="J6" s="40"/>
      <c r="K6" s="40"/>
      <c r="L6" s="40"/>
      <c r="M6" s="40"/>
      <c r="N6" s="40"/>
    </row>
    <row r="7" spans="2:14" x14ac:dyDescent="0.35">
      <c r="B7" s="40"/>
      <c r="C7" s="40"/>
      <c r="D7" s="40"/>
      <c r="E7" s="40"/>
      <c r="F7" s="40"/>
      <c r="G7" s="40"/>
      <c r="I7" s="40"/>
      <c r="J7" s="40"/>
      <c r="K7" s="40"/>
      <c r="L7" s="40"/>
      <c r="M7" s="40"/>
      <c r="N7" s="40"/>
    </row>
    <row r="8" spans="2:14" x14ac:dyDescent="0.35">
      <c r="B8" s="40"/>
      <c r="C8" s="40"/>
      <c r="D8" s="40"/>
      <c r="E8" s="40"/>
      <c r="F8" s="40"/>
      <c r="G8" s="40"/>
      <c r="I8" s="40"/>
      <c r="J8" s="40"/>
      <c r="K8" s="40"/>
      <c r="L8" s="40"/>
      <c r="M8" s="40"/>
      <c r="N8" s="40"/>
    </row>
    <row r="9" spans="2:14" x14ac:dyDescent="0.35">
      <c r="B9" s="40"/>
      <c r="C9" s="40"/>
      <c r="D9" s="40"/>
      <c r="E9" s="40"/>
      <c r="F9" s="40"/>
      <c r="G9" s="40"/>
      <c r="I9" s="40"/>
      <c r="J9" s="40"/>
      <c r="K9" s="40"/>
      <c r="L9" s="40"/>
      <c r="M9" s="40"/>
      <c r="N9" s="40"/>
    </row>
    <row r="10" spans="2:14" x14ac:dyDescent="0.35">
      <c r="B10" s="40"/>
      <c r="C10" s="40"/>
      <c r="D10" s="40"/>
      <c r="E10" s="40"/>
      <c r="F10" s="40"/>
      <c r="G10" s="40"/>
      <c r="I10" s="40"/>
      <c r="J10" s="40"/>
      <c r="K10" s="40"/>
      <c r="L10" s="40"/>
      <c r="M10" s="40"/>
      <c r="N10" s="40"/>
    </row>
    <row r="11" spans="2:14" x14ac:dyDescent="0.35">
      <c r="B11" s="40"/>
      <c r="C11" s="40"/>
      <c r="D11" s="40"/>
      <c r="E11" s="40"/>
      <c r="F11" s="40"/>
      <c r="G11" s="40"/>
      <c r="I11" s="40"/>
      <c r="J11" s="40"/>
      <c r="K11" s="40"/>
      <c r="L11" s="40"/>
      <c r="M11" s="40"/>
      <c r="N11" s="40"/>
    </row>
    <row r="12" spans="2:14" x14ac:dyDescent="0.35">
      <c r="B12" s="40"/>
      <c r="C12" s="40"/>
      <c r="D12" s="40"/>
      <c r="E12" s="40"/>
      <c r="F12" s="40"/>
      <c r="G12" s="40"/>
      <c r="I12" s="40"/>
      <c r="J12" s="40"/>
      <c r="K12" s="40"/>
      <c r="L12" s="40"/>
      <c r="M12" s="40"/>
      <c r="N12" s="40"/>
    </row>
    <row r="14" spans="2:14" ht="15.5" x14ac:dyDescent="0.35">
      <c r="B14" s="41" t="s">
        <v>1107</v>
      </c>
      <c r="C14" s="41"/>
      <c r="D14" s="41"/>
      <c r="E14" s="41"/>
      <c r="F14" s="41"/>
      <c r="G14" s="41"/>
      <c r="I14" s="41" t="s">
        <v>1108</v>
      </c>
      <c r="J14" s="41"/>
      <c r="K14" s="41"/>
      <c r="L14" s="41"/>
      <c r="M14" s="41"/>
      <c r="N14" s="41"/>
    </row>
    <row r="15" spans="2:14" ht="14.5" customHeight="1" x14ac:dyDescent="0.35">
      <c r="B15" s="40" t="s">
        <v>1105</v>
      </c>
      <c r="C15" s="40"/>
      <c r="D15" s="40"/>
      <c r="E15" s="40"/>
      <c r="F15" s="40"/>
      <c r="G15" s="40"/>
      <c r="I15" s="40" t="s">
        <v>1104</v>
      </c>
      <c r="J15" s="40"/>
      <c r="K15" s="40"/>
      <c r="L15" s="40"/>
      <c r="M15" s="40"/>
      <c r="N15" s="40"/>
    </row>
    <row r="16" spans="2:14" x14ac:dyDescent="0.35">
      <c r="B16" s="40"/>
      <c r="C16" s="40"/>
      <c r="D16" s="40"/>
      <c r="E16" s="40"/>
      <c r="F16" s="40"/>
      <c r="G16" s="40"/>
      <c r="I16" s="40"/>
      <c r="J16" s="40"/>
      <c r="K16" s="40"/>
      <c r="L16" s="40"/>
      <c r="M16" s="40"/>
      <c r="N16" s="40"/>
    </row>
    <row r="17" spans="2:14" x14ac:dyDescent="0.35">
      <c r="B17" s="40"/>
      <c r="C17" s="40"/>
      <c r="D17" s="40"/>
      <c r="E17" s="40"/>
      <c r="F17" s="40"/>
      <c r="G17" s="40"/>
      <c r="I17" s="40"/>
      <c r="J17" s="40"/>
      <c r="K17" s="40"/>
      <c r="L17" s="40"/>
      <c r="M17" s="40"/>
      <c r="N17" s="40"/>
    </row>
    <row r="18" spans="2:14" x14ac:dyDescent="0.35">
      <c r="B18" s="40"/>
      <c r="C18" s="40"/>
      <c r="D18" s="40"/>
      <c r="E18" s="40"/>
      <c r="F18" s="40"/>
      <c r="G18" s="40"/>
      <c r="I18" s="40"/>
      <c r="J18" s="40"/>
      <c r="K18" s="40"/>
      <c r="L18" s="40"/>
      <c r="M18" s="40"/>
      <c r="N18" s="40"/>
    </row>
    <row r="19" spans="2:14" x14ac:dyDescent="0.35">
      <c r="B19" s="40"/>
      <c r="C19" s="40"/>
      <c r="D19" s="40"/>
      <c r="E19" s="40"/>
      <c r="F19" s="40"/>
      <c r="G19" s="40"/>
      <c r="I19" s="40"/>
      <c r="J19" s="40"/>
      <c r="K19" s="40"/>
      <c r="L19" s="40"/>
      <c r="M19" s="40"/>
      <c r="N19" s="40"/>
    </row>
    <row r="20" spans="2:14" x14ac:dyDescent="0.35">
      <c r="B20" s="40"/>
      <c r="C20" s="40"/>
      <c r="D20" s="40"/>
      <c r="E20" s="40"/>
      <c r="F20" s="40"/>
      <c r="G20" s="40"/>
      <c r="I20" s="40"/>
      <c r="J20" s="40"/>
      <c r="K20" s="40"/>
      <c r="L20" s="40"/>
      <c r="M20" s="40"/>
      <c r="N20" s="40"/>
    </row>
    <row r="21" spans="2:14" x14ac:dyDescent="0.35">
      <c r="B21" s="40"/>
      <c r="C21" s="40"/>
      <c r="D21" s="40"/>
      <c r="E21" s="40"/>
      <c r="F21" s="40"/>
      <c r="G21" s="40"/>
      <c r="I21" s="40"/>
      <c r="J21" s="40"/>
      <c r="K21" s="40"/>
      <c r="L21" s="40"/>
      <c r="M21" s="40"/>
      <c r="N21" s="40"/>
    </row>
    <row r="22" spans="2:14" x14ac:dyDescent="0.35">
      <c r="B22" s="40"/>
      <c r="C22" s="40"/>
      <c r="D22" s="40"/>
      <c r="E22" s="40"/>
      <c r="F22" s="40"/>
      <c r="G22" s="40"/>
      <c r="I22" s="40"/>
      <c r="J22" s="40"/>
      <c r="K22" s="40"/>
      <c r="L22" s="40"/>
      <c r="M22" s="40"/>
      <c r="N22" s="40"/>
    </row>
    <row r="23" spans="2:14" x14ac:dyDescent="0.35">
      <c r="B23" s="40"/>
      <c r="C23" s="40"/>
      <c r="D23" s="40"/>
      <c r="E23" s="40"/>
      <c r="F23" s="40"/>
      <c r="G23" s="40"/>
      <c r="I23" s="40"/>
      <c r="J23" s="40"/>
      <c r="K23" s="40"/>
      <c r="L23" s="40"/>
      <c r="M23" s="40"/>
      <c r="N23" s="40"/>
    </row>
    <row r="24" spans="2:14" x14ac:dyDescent="0.35">
      <c r="B24" s="40"/>
      <c r="C24" s="40"/>
      <c r="D24" s="40"/>
      <c r="E24" s="40"/>
      <c r="F24" s="40"/>
      <c r="G24" s="40"/>
      <c r="I24" s="40"/>
      <c r="J24" s="40"/>
      <c r="K24" s="40"/>
      <c r="L24" s="40"/>
      <c r="M24" s="40"/>
      <c r="N24" s="40"/>
    </row>
    <row r="25" spans="2:14" x14ac:dyDescent="0.35">
      <c r="B25" s="40"/>
      <c r="C25" s="40"/>
      <c r="D25" s="40"/>
      <c r="E25" s="40"/>
      <c r="F25" s="40"/>
      <c r="G25" s="40"/>
      <c r="I25" s="40"/>
      <c r="J25" s="40"/>
      <c r="K25" s="40"/>
      <c r="L25" s="40"/>
      <c r="M25" s="40"/>
      <c r="N25" s="40"/>
    </row>
    <row r="26" spans="2:14" x14ac:dyDescent="0.35">
      <c r="B26" s="27"/>
      <c r="C26" s="27"/>
      <c r="D26" s="27"/>
      <c r="E26" s="27"/>
      <c r="F26" s="27"/>
      <c r="G26" s="27"/>
      <c r="H26" s="27"/>
    </row>
    <row r="27" spans="2:14" ht="15.5" x14ac:dyDescent="0.35">
      <c r="B27" s="41" t="s">
        <v>1109</v>
      </c>
      <c r="C27" s="41"/>
      <c r="D27" s="41"/>
      <c r="E27" s="41"/>
      <c r="F27" s="41"/>
      <c r="G27" s="41"/>
      <c r="H27" s="27"/>
      <c r="I27" s="41" t="s">
        <v>1110</v>
      </c>
      <c r="J27" s="41"/>
      <c r="K27" s="41"/>
      <c r="L27" s="41"/>
      <c r="M27" s="41"/>
      <c r="N27" s="41"/>
    </row>
    <row r="28" spans="2:14" x14ac:dyDescent="0.35">
      <c r="B28" s="40" t="s">
        <v>1102</v>
      </c>
      <c r="C28" s="40"/>
      <c r="D28" s="40"/>
      <c r="E28" s="40"/>
      <c r="F28" s="40"/>
      <c r="G28" s="40"/>
      <c r="I28" s="40" t="s">
        <v>1103</v>
      </c>
      <c r="J28" s="40"/>
      <c r="K28" s="40"/>
      <c r="L28" s="40"/>
      <c r="M28" s="40"/>
      <c r="N28" s="40"/>
    </row>
    <row r="29" spans="2:14" x14ac:dyDescent="0.35">
      <c r="B29" s="40"/>
      <c r="C29" s="40"/>
      <c r="D29" s="40"/>
      <c r="E29" s="40"/>
      <c r="F29" s="40"/>
      <c r="G29" s="40"/>
      <c r="I29" s="40"/>
      <c r="J29" s="40"/>
      <c r="K29" s="40"/>
      <c r="L29" s="40"/>
      <c r="M29" s="40"/>
      <c r="N29" s="40"/>
    </row>
    <row r="30" spans="2:14" x14ac:dyDescent="0.35">
      <c r="B30" s="40"/>
      <c r="C30" s="40"/>
      <c r="D30" s="40"/>
      <c r="E30" s="40"/>
      <c r="F30" s="40"/>
      <c r="G30" s="40"/>
      <c r="I30" s="40"/>
      <c r="J30" s="40"/>
      <c r="K30" s="40"/>
      <c r="L30" s="40"/>
      <c r="M30" s="40"/>
      <c r="N30" s="40"/>
    </row>
    <row r="31" spans="2:14" x14ac:dyDescent="0.35">
      <c r="B31" s="40"/>
      <c r="C31" s="40"/>
      <c r="D31" s="40"/>
      <c r="E31" s="40"/>
      <c r="F31" s="40"/>
      <c r="G31" s="40"/>
      <c r="I31" s="40"/>
      <c r="J31" s="40"/>
      <c r="K31" s="40"/>
      <c r="L31" s="40"/>
      <c r="M31" s="40"/>
      <c r="N31" s="40"/>
    </row>
    <row r="32" spans="2:14" x14ac:dyDescent="0.35">
      <c r="B32" s="40"/>
      <c r="C32" s="40"/>
      <c r="D32" s="40"/>
      <c r="E32" s="40"/>
      <c r="F32" s="40"/>
      <c r="G32" s="40"/>
      <c r="I32" s="40"/>
      <c r="J32" s="40"/>
      <c r="K32" s="40"/>
      <c r="L32" s="40"/>
      <c r="M32" s="40"/>
      <c r="N32" s="40"/>
    </row>
    <row r="33" spans="2:14" x14ac:dyDescent="0.35">
      <c r="B33" s="40"/>
      <c r="C33" s="40"/>
      <c r="D33" s="40"/>
      <c r="E33" s="40"/>
      <c r="F33" s="40"/>
      <c r="G33" s="40"/>
      <c r="I33" s="40"/>
      <c r="J33" s="40"/>
      <c r="K33" s="40"/>
      <c r="L33" s="40"/>
      <c r="M33" s="40"/>
      <c r="N33" s="40"/>
    </row>
    <row r="34" spans="2:14" x14ac:dyDescent="0.35">
      <c r="I34" s="40"/>
      <c r="J34" s="40"/>
      <c r="K34" s="40"/>
      <c r="L34" s="40"/>
      <c r="M34" s="40"/>
      <c r="N34" s="40"/>
    </row>
    <row r="35" spans="2:14" x14ac:dyDescent="0.35">
      <c r="I35" s="40"/>
      <c r="J35" s="40"/>
      <c r="K35" s="40"/>
      <c r="L35" s="40"/>
      <c r="M35" s="40"/>
      <c r="N35" s="40"/>
    </row>
    <row r="36" spans="2:14" x14ac:dyDescent="0.35">
      <c r="I36" s="40"/>
      <c r="J36" s="40"/>
      <c r="K36" s="40"/>
      <c r="L36" s="40"/>
      <c r="M36" s="40"/>
      <c r="N36" s="40"/>
    </row>
    <row r="39" spans="2:14" ht="23.5" x14ac:dyDescent="0.55000000000000004">
      <c r="D39" s="39" t="s">
        <v>1098</v>
      </c>
      <c r="E39" s="39"/>
      <c r="F39" s="39"/>
      <c r="G39" s="39"/>
      <c r="H39" s="39"/>
      <c r="I39" s="39"/>
      <c r="J39" s="39"/>
      <c r="K39" s="39"/>
      <c r="L39" s="39"/>
    </row>
    <row r="41" spans="2:14" ht="14.5" customHeight="1" x14ac:dyDescent="0.35">
      <c r="B41" s="40" t="s">
        <v>1099</v>
      </c>
      <c r="C41" s="40"/>
      <c r="D41" s="40"/>
      <c r="E41" s="40"/>
      <c r="F41" s="40"/>
      <c r="G41" s="40"/>
      <c r="H41" s="40"/>
      <c r="I41" s="40"/>
      <c r="J41" s="40"/>
      <c r="K41" s="40"/>
      <c r="L41" s="40"/>
      <c r="M41" s="40"/>
      <c r="N41" s="40"/>
    </row>
    <row r="42" spans="2:14" x14ac:dyDescent="0.35">
      <c r="B42" s="40"/>
      <c r="C42" s="40"/>
      <c r="D42" s="40"/>
      <c r="E42" s="40"/>
      <c r="F42" s="40"/>
      <c r="G42" s="40"/>
      <c r="H42" s="40"/>
      <c r="I42" s="40"/>
      <c r="J42" s="40"/>
      <c r="K42" s="40"/>
      <c r="L42" s="40"/>
      <c r="M42" s="40"/>
      <c r="N42" s="40"/>
    </row>
    <row r="43" spans="2:14" x14ac:dyDescent="0.35">
      <c r="B43" s="40"/>
      <c r="C43" s="40"/>
      <c r="D43" s="40"/>
      <c r="E43" s="40"/>
      <c r="F43" s="40"/>
      <c r="G43" s="40"/>
      <c r="H43" s="40"/>
      <c r="I43" s="40"/>
      <c r="J43" s="40"/>
      <c r="K43" s="40"/>
      <c r="L43" s="40"/>
      <c r="M43" s="40"/>
      <c r="N43" s="40"/>
    </row>
    <row r="44" spans="2:14" x14ac:dyDescent="0.35">
      <c r="B44" s="40"/>
      <c r="C44" s="40"/>
      <c r="D44" s="40"/>
      <c r="E44" s="40"/>
      <c r="F44" s="40"/>
      <c r="G44" s="40"/>
      <c r="H44" s="40"/>
      <c r="I44" s="40"/>
      <c r="J44" s="40"/>
      <c r="K44" s="40"/>
      <c r="L44" s="40"/>
      <c r="M44" s="40"/>
      <c r="N44" s="40"/>
    </row>
    <row r="45" spans="2:14" x14ac:dyDescent="0.35">
      <c r="B45" s="40"/>
      <c r="C45" s="40"/>
      <c r="D45" s="40"/>
      <c r="E45" s="40"/>
      <c r="F45" s="40"/>
      <c r="G45" s="40"/>
      <c r="H45" s="40"/>
      <c r="I45" s="40"/>
      <c r="J45" s="40"/>
      <c r="K45" s="40"/>
      <c r="L45" s="40"/>
      <c r="M45" s="40"/>
      <c r="N45" s="40"/>
    </row>
    <row r="46" spans="2:14" x14ac:dyDescent="0.35">
      <c r="B46" s="40"/>
      <c r="C46" s="40"/>
      <c r="D46" s="40"/>
      <c r="E46" s="40"/>
      <c r="F46" s="40"/>
      <c r="G46" s="40"/>
      <c r="H46" s="40"/>
      <c r="I46" s="40"/>
      <c r="J46" s="40"/>
      <c r="K46" s="40"/>
      <c r="L46" s="40"/>
      <c r="M46" s="40"/>
      <c r="N46" s="40"/>
    </row>
    <row r="47" spans="2:14" x14ac:dyDescent="0.35">
      <c r="B47" s="40"/>
      <c r="C47" s="40"/>
      <c r="D47" s="40"/>
      <c r="E47" s="40"/>
      <c r="F47" s="40"/>
      <c r="G47" s="40"/>
      <c r="H47" s="40"/>
      <c r="I47" s="40"/>
      <c r="J47" s="40"/>
      <c r="K47" s="40"/>
      <c r="L47" s="40"/>
      <c r="M47" s="40"/>
      <c r="N47" s="40"/>
    </row>
    <row r="48" spans="2:14" x14ac:dyDescent="0.35">
      <c r="B48" s="40"/>
      <c r="C48" s="40"/>
      <c r="D48" s="40"/>
      <c r="E48" s="40"/>
      <c r="F48" s="40"/>
      <c r="G48" s="40"/>
      <c r="H48" s="40"/>
      <c r="I48" s="40"/>
      <c r="J48" s="40"/>
      <c r="K48" s="40"/>
      <c r="L48" s="40"/>
      <c r="M48" s="40"/>
      <c r="N48" s="40"/>
    </row>
    <row r="49" spans="2:14" x14ac:dyDescent="0.35">
      <c r="B49" s="40"/>
      <c r="C49" s="40"/>
      <c r="D49" s="40"/>
      <c r="E49" s="40"/>
      <c r="F49" s="40"/>
      <c r="G49" s="40"/>
      <c r="H49" s="40"/>
      <c r="I49" s="40"/>
      <c r="J49" s="40"/>
      <c r="K49" s="40"/>
      <c r="L49" s="40"/>
      <c r="M49" s="40"/>
      <c r="N49" s="40"/>
    </row>
    <row r="50" spans="2:14" x14ac:dyDescent="0.35">
      <c r="B50" s="40"/>
      <c r="C50" s="40"/>
      <c r="D50" s="40"/>
      <c r="E50" s="40"/>
      <c r="F50" s="40"/>
      <c r="G50" s="40"/>
      <c r="H50" s="40"/>
      <c r="I50" s="40"/>
      <c r="J50" s="40"/>
      <c r="K50" s="40"/>
      <c r="L50" s="40"/>
      <c r="M50" s="40"/>
      <c r="N50" s="40"/>
    </row>
    <row r="51" spans="2:14" x14ac:dyDescent="0.35">
      <c r="B51" s="40"/>
      <c r="C51" s="40"/>
      <c r="D51" s="40"/>
      <c r="E51" s="40"/>
      <c r="F51" s="40"/>
      <c r="G51" s="40"/>
      <c r="H51" s="40"/>
      <c r="I51" s="40"/>
      <c r="J51" s="40"/>
      <c r="K51" s="40"/>
      <c r="L51" s="40"/>
      <c r="M51" s="40"/>
      <c r="N51" s="40"/>
    </row>
    <row r="52" spans="2:14" x14ac:dyDescent="0.35">
      <c r="B52" s="40"/>
      <c r="C52" s="40"/>
      <c r="D52" s="40"/>
      <c r="E52" s="40"/>
      <c r="F52" s="40"/>
      <c r="G52" s="40"/>
      <c r="H52" s="40"/>
      <c r="I52" s="40"/>
      <c r="J52" s="40"/>
      <c r="K52" s="40"/>
      <c r="L52" s="40"/>
      <c r="M52" s="40"/>
      <c r="N52" s="40"/>
    </row>
    <row r="53" spans="2:14" x14ac:dyDescent="0.35">
      <c r="B53" s="40"/>
      <c r="C53" s="40"/>
      <c r="D53" s="40"/>
      <c r="E53" s="40"/>
      <c r="F53" s="40"/>
      <c r="G53" s="40"/>
      <c r="H53" s="40"/>
      <c r="I53" s="40"/>
      <c r="J53" s="40"/>
      <c r="K53" s="40"/>
      <c r="L53" s="40"/>
      <c r="M53" s="40"/>
      <c r="N53" s="40"/>
    </row>
    <row r="54" spans="2:14" x14ac:dyDescent="0.35">
      <c r="B54" s="40"/>
      <c r="C54" s="40"/>
      <c r="D54" s="40"/>
      <c r="E54" s="40"/>
      <c r="F54" s="40"/>
      <c r="G54" s="40"/>
      <c r="H54" s="40"/>
      <c r="I54" s="40"/>
      <c r="J54" s="40"/>
      <c r="K54" s="40"/>
      <c r="L54" s="40"/>
      <c r="M54" s="40"/>
      <c r="N54" s="40"/>
    </row>
    <row r="55" spans="2:14" x14ac:dyDescent="0.35">
      <c r="B55" s="40"/>
      <c r="C55" s="40"/>
      <c r="D55" s="40"/>
      <c r="E55" s="40"/>
      <c r="F55" s="40"/>
      <c r="G55" s="40"/>
      <c r="H55" s="40"/>
      <c r="I55" s="40"/>
      <c r="J55" s="40"/>
      <c r="K55" s="40"/>
      <c r="L55" s="40"/>
      <c r="M55" s="40"/>
      <c r="N55" s="40"/>
    </row>
    <row r="56" spans="2:14" x14ac:dyDescent="0.35">
      <c r="B56" s="40"/>
      <c r="C56" s="40"/>
      <c r="D56" s="40"/>
      <c r="E56" s="40"/>
      <c r="F56" s="40"/>
      <c r="G56" s="40"/>
      <c r="H56" s="40"/>
      <c r="I56" s="40"/>
      <c r="J56" s="40"/>
      <c r="K56" s="40"/>
      <c r="L56" s="40"/>
      <c r="M56" s="40"/>
      <c r="N56" s="40"/>
    </row>
    <row r="57" spans="2:14" x14ac:dyDescent="0.35">
      <c r="B57" s="40"/>
      <c r="C57" s="40"/>
      <c r="D57" s="40"/>
      <c r="E57" s="40"/>
      <c r="F57" s="40"/>
      <c r="G57" s="40"/>
      <c r="H57" s="40"/>
      <c r="I57" s="40"/>
      <c r="J57" s="40"/>
      <c r="K57" s="40"/>
      <c r="L57" s="40"/>
      <c r="M57" s="40"/>
      <c r="N57" s="40"/>
    </row>
    <row r="58" spans="2:14" x14ac:dyDescent="0.35">
      <c r="B58" s="40"/>
      <c r="C58" s="40"/>
      <c r="D58" s="40"/>
      <c r="E58" s="40"/>
      <c r="F58" s="40"/>
      <c r="G58" s="40"/>
      <c r="H58" s="40"/>
      <c r="I58" s="40"/>
      <c r="J58" s="40"/>
      <c r="K58" s="40"/>
      <c r="L58" s="40"/>
      <c r="M58" s="40"/>
      <c r="N58" s="40"/>
    </row>
    <row r="59" spans="2:14" x14ac:dyDescent="0.35">
      <c r="B59" s="40"/>
      <c r="C59" s="40"/>
      <c r="D59" s="40"/>
      <c r="E59" s="40"/>
      <c r="F59" s="40"/>
      <c r="G59" s="40"/>
      <c r="H59" s="40"/>
      <c r="I59" s="40"/>
      <c r="J59" s="40"/>
      <c r="K59" s="40"/>
      <c r="L59" s="40"/>
      <c r="M59" s="40"/>
      <c r="N59" s="40"/>
    </row>
  </sheetData>
  <mergeCells count="16">
    <mergeCell ref="B15:G25"/>
    <mergeCell ref="I15:N25"/>
    <mergeCell ref="B27:G27"/>
    <mergeCell ref="B28:G33"/>
    <mergeCell ref="I27:N27"/>
    <mergeCell ref="I28:N36"/>
    <mergeCell ref="D39:L39"/>
    <mergeCell ref="B41:N59"/>
    <mergeCell ref="B14:G14"/>
    <mergeCell ref="I14:N14"/>
    <mergeCell ref="D1:L1"/>
    <mergeCell ref="G2:I2"/>
    <mergeCell ref="B4:G4"/>
    <mergeCell ref="I4:N4"/>
    <mergeCell ref="B5:G12"/>
    <mergeCell ref="I5:N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7689-6C94-4946-B62F-7D07821D8D77}">
  <dimension ref="A3:C7"/>
  <sheetViews>
    <sheetView topLeftCell="A3" workbookViewId="0">
      <selection activeCell="C4" sqref="C4"/>
    </sheetView>
  </sheetViews>
  <sheetFormatPr defaultRowHeight="14.5" x14ac:dyDescent="0.35"/>
  <cols>
    <col min="1" max="1" width="12.36328125" bestFit="1" customWidth="1"/>
    <col min="2" max="2" width="11.36328125" bestFit="1" customWidth="1"/>
    <col min="3" max="3" width="18.1796875" bestFit="1" customWidth="1"/>
  </cols>
  <sheetData>
    <row r="3" spans="1:3" x14ac:dyDescent="0.35">
      <c r="A3" s="6" t="s">
        <v>1044</v>
      </c>
      <c r="B3" t="s">
        <v>1045</v>
      </c>
      <c r="C3" t="s">
        <v>1047</v>
      </c>
    </row>
    <row r="4" spans="1:3" x14ac:dyDescent="0.35">
      <c r="A4" s="7" t="s">
        <v>18</v>
      </c>
      <c r="B4" s="5">
        <v>106200.3705</v>
      </c>
      <c r="C4" s="5">
        <v>5057.1605</v>
      </c>
    </row>
    <row r="5" spans="1:3" x14ac:dyDescent="0.35">
      <c r="A5" s="7" t="s">
        <v>42</v>
      </c>
      <c r="B5" s="5">
        <v>106197.67200000001</v>
      </c>
      <c r="C5" s="5">
        <v>5057.0320000000002</v>
      </c>
    </row>
    <row r="6" spans="1:3" x14ac:dyDescent="0.35">
      <c r="A6" s="7" t="s">
        <v>25</v>
      </c>
      <c r="B6" s="5">
        <v>110568.7065</v>
      </c>
      <c r="C6" s="5">
        <v>5265.1764999999996</v>
      </c>
    </row>
    <row r="7" spans="1:3" x14ac:dyDescent="0.35">
      <c r="A7" s="7" t="s">
        <v>1046</v>
      </c>
      <c r="B7" s="5">
        <v>322966.74900000001</v>
      </c>
      <c r="C7" s="5">
        <v>15379.369000000001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AE35-B99F-41C6-8148-1E9C7B5A4E93}">
  <dimension ref="A3:E7"/>
  <sheetViews>
    <sheetView workbookViewId="0">
      <selection activeCell="D3" sqref="D3"/>
    </sheetView>
  </sheetViews>
  <sheetFormatPr defaultRowHeight="14.5" x14ac:dyDescent="0.35"/>
  <cols>
    <col min="1" max="1" width="12.36328125" bestFit="1" customWidth="1"/>
    <col min="2" max="2" width="16.81640625" bestFit="1" customWidth="1"/>
    <col min="3" max="3" width="18.1796875" bestFit="1" customWidth="1"/>
    <col min="4" max="4" width="11.36328125" bestFit="1" customWidth="1"/>
    <col min="5" max="5" width="14.54296875" bestFit="1" customWidth="1"/>
    <col min="6" max="6" width="16.81640625" bestFit="1" customWidth="1"/>
    <col min="7" max="7" width="17.90625" bestFit="1" customWidth="1"/>
    <col min="8" max="8" width="21.7265625" bestFit="1" customWidth="1"/>
    <col min="9" max="9" width="22.7265625" bestFit="1" customWidth="1"/>
    <col min="10" max="90" width="10.453125" bestFit="1" customWidth="1"/>
    <col min="91" max="91" width="10.7265625" bestFit="1" customWidth="1"/>
  </cols>
  <sheetData>
    <row r="3" spans="1:5" x14ac:dyDescent="0.35">
      <c r="A3" s="6" t="s">
        <v>1044</v>
      </c>
      <c r="B3" t="s">
        <v>1048</v>
      </c>
      <c r="C3" t="s">
        <v>1047</v>
      </c>
      <c r="D3" t="s">
        <v>1045</v>
      </c>
      <c r="E3" t="s">
        <v>1051</v>
      </c>
    </row>
    <row r="4" spans="1:5" x14ac:dyDescent="0.35">
      <c r="A4" s="7" t="s">
        <v>20</v>
      </c>
      <c r="B4" s="5">
        <v>501</v>
      </c>
      <c r="C4" s="5">
        <v>7820.1639999999998</v>
      </c>
      <c r="D4" s="5">
        <v>164223.44399999999</v>
      </c>
      <c r="E4" s="5">
        <v>2785</v>
      </c>
    </row>
    <row r="5" spans="1:5" x14ac:dyDescent="0.35">
      <c r="A5" s="7" t="s">
        <v>27</v>
      </c>
      <c r="B5" s="5">
        <v>499</v>
      </c>
      <c r="C5" s="5">
        <v>7559.2049999999999</v>
      </c>
      <c r="D5" s="5">
        <v>158743.30499999999</v>
      </c>
      <c r="E5" s="5">
        <v>2725</v>
      </c>
    </row>
    <row r="6" spans="1:5" x14ac:dyDescent="0.35">
      <c r="A6" s="7" t="s">
        <v>1046</v>
      </c>
      <c r="B6" s="5">
        <v>1000</v>
      </c>
      <c r="C6" s="5">
        <v>15379.369000000001</v>
      </c>
      <c r="D6" s="5">
        <v>322966.74900000001</v>
      </c>
      <c r="E6" s="5">
        <v>5510</v>
      </c>
    </row>
    <row r="7" spans="1:5" x14ac:dyDescent="0.35">
      <c r="E7"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0D34-FF99-453D-8760-EF7E489F42FD}">
  <dimension ref="A3:F10"/>
  <sheetViews>
    <sheetView workbookViewId="0">
      <selection activeCell="F6" sqref="F6"/>
    </sheetView>
  </sheetViews>
  <sheetFormatPr defaultRowHeight="14.5" x14ac:dyDescent="0.35"/>
  <cols>
    <col min="1" max="1" width="18.90625" bestFit="1" customWidth="1"/>
    <col min="2" max="2" width="16.81640625" bestFit="1" customWidth="1"/>
    <col min="3" max="3" width="11.36328125" bestFit="1" customWidth="1"/>
    <col min="4" max="4" width="18.1796875" bestFit="1" customWidth="1"/>
    <col min="5" max="5" width="14.54296875" bestFit="1" customWidth="1"/>
    <col min="6" max="6" width="15.54296875" bestFit="1" customWidth="1"/>
  </cols>
  <sheetData>
    <row r="3" spans="1:6" x14ac:dyDescent="0.35">
      <c r="A3" s="6" t="s">
        <v>1044</v>
      </c>
      <c r="B3" t="s">
        <v>1048</v>
      </c>
      <c r="C3" t="s">
        <v>1045</v>
      </c>
      <c r="D3" t="s">
        <v>1047</v>
      </c>
      <c r="E3" t="s">
        <v>1051</v>
      </c>
      <c r="F3" t="s">
        <v>1067</v>
      </c>
    </row>
    <row r="4" spans="1:6" x14ac:dyDescent="0.35">
      <c r="A4" s="7" t="s">
        <v>28</v>
      </c>
      <c r="B4" s="9">
        <v>170</v>
      </c>
      <c r="C4" s="5">
        <v>54337.531499999997</v>
      </c>
      <c r="D4" s="5">
        <v>2587.5014999999999</v>
      </c>
      <c r="E4" s="9">
        <v>971</v>
      </c>
      <c r="F4" s="5">
        <v>6.9247058823529413</v>
      </c>
    </row>
    <row r="5" spans="1:6" x14ac:dyDescent="0.35">
      <c r="A5" s="7" t="s">
        <v>46</v>
      </c>
      <c r="B5" s="9">
        <v>178</v>
      </c>
      <c r="C5" s="5">
        <v>54305.894999999997</v>
      </c>
      <c r="D5" s="5">
        <v>2585.9949999999999</v>
      </c>
      <c r="E5" s="9">
        <v>902</v>
      </c>
      <c r="F5" s="5">
        <v>7.0292134831460675</v>
      </c>
    </row>
    <row r="6" spans="1:6" x14ac:dyDescent="0.35">
      <c r="A6" s="7" t="s">
        <v>44</v>
      </c>
      <c r="B6" s="9">
        <v>174</v>
      </c>
      <c r="C6" s="5">
        <v>56144.843999999997</v>
      </c>
      <c r="D6" s="5">
        <v>2673.5639999999999</v>
      </c>
      <c r="E6" s="9">
        <v>952</v>
      </c>
      <c r="F6" s="5">
        <v>7.1132183908045983</v>
      </c>
    </row>
    <row r="7" spans="1:6" x14ac:dyDescent="0.35">
      <c r="A7" s="7" t="s">
        <v>22</v>
      </c>
      <c r="B7" s="9">
        <v>152</v>
      </c>
      <c r="C7" s="5">
        <v>49193.739000000001</v>
      </c>
      <c r="D7" s="5">
        <v>2342.5590000000002</v>
      </c>
      <c r="E7" s="9">
        <v>854</v>
      </c>
      <c r="F7" s="5">
        <v>7.0032894736842106</v>
      </c>
    </row>
    <row r="8" spans="1:6" x14ac:dyDescent="0.35">
      <c r="A8" s="7" t="s">
        <v>32</v>
      </c>
      <c r="B8" s="9">
        <v>160</v>
      </c>
      <c r="C8" s="5">
        <v>53861.913</v>
      </c>
      <c r="D8" s="5">
        <v>2564.8530000000001</v>
      </c>
      <c r="E8" s="9">
        <v>911</v>
      </c>
      <c r="F8" s="5">
        <v>6.8375000000000004</v>
      </c>
    </row>
    <row r="9" spans="1:6" x14ac:dyDescent="0.35">
      <c r="A9" s="7" t="s">
        <v>36</v>
      </c>
      <c r="B9" s="9">
        <v>166</v>
      </c>
      <c r="C9" s="5">
        <v>55122.826500000003</v>
      </c>
      <c r="D9" s="5">
        <v>2624.8964999999998</v>
      </c>
      <c r="E9" s="9">
        <v>920</v>
      </c>
      <c r="F9" s="5">
        <v>6.9162650602409634</v>
      </c>
    </row>
    <row r="10" spans="1:6" x14ac:dyDescent="0.35">
      <c r="A10" s="7" t="s">
        <v>1046</v>
      </c>
      <c r="B10" s="9">
        <v>1000</v>
      </c>
      <c r="C10" s="5">
        <v>322966.74900000001</v>
      </c>
      <c r="D10" s="5">
        <v>15379.369000000001</v>
      </c>
      <c r="E10" s="9">
        <v>5510</v>
      </c>
      <c r="F10" s="5">
        <v>6.9726999999999997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C5E0-719E-4F6A-A462-7F1596B02D3D}">
  <dimension ref="A3:C7"/>
  <sheetViews>
    <sheetView workbookViewId="0">
      <selection activeCell="D7" sqref="D7"/>
    </sheetView>
  </sheetViews>
  <sheetFormatPr defaultRowHeight="14.5" x14ac:dyDescent="0.35"/>
  <cols>
    <col min="1" max="1" width="12.36328125" bestFit="1" customWidth="1"/>
    <col min="2" max="2" width="16.81640625" bestFit="1" customWidth="1"/>
    <col min="3" max="3" width="11.36328125" bestFit="1" customWidth="1"/>
  </cols>
  <sheetData>
    <row r="3" spans="1:3" x14ac:dyDescent="0.35">
      <c r="A3" s="6" t="s">
        <v>1044</v>
      </c>
      <c r="B3" t="s">
        <v>1048</v>
      </c>
      <c r="C3" t="s">
        <v>1045</v>
      </c>
    </row>
    <row r="4" spans="1:3" x14ac:dyDescent="0.35">
      <c r="A4" s="7" t="s">
        <v>29</v>
      </c>
      <c r="B4">
        <v>344</v>
      </c>
      <c r="C4" s="5">
        <v>112206.57</v>
      </c>
    </row>
    <row r="5" spans="1:3" x14ac:dyDescent="0.35">
      <c r="A5" s="7" t="s">
        <v>33</v>
      </c>
      <c r="B5">
        <v>311</v>
      </c>
      <c r="C5" s="5">
        <v>100767.072</v>
      </c>
    </row>
    <row r="6" spans="1:3" x14ac:dyDescent="0.35">
      <c r="A6" s="7" t="s">
        <v>23</v>
      </c>
      <c r="B6">
        <v>345</v>
      </c>
      <c r="C6" s="5">
        <v>109993.107</v>
      </c>
    </row>
    <row r="7" spans="1:3" x14ac:dyDescent="0.35">
      <c r="A7" s="7" t="s">
        <v>1046</v>
      </c>
      <c r="B7">
        <v>1000</v>
      </c>
      <c r="C7" s="5">
        <v>322966.74900000001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020C6-DACA-4EFE-9597-976351FBABD9}">
  <dimension ref="A3:D6"/>
  <sheetViews>
    <sheetView workbookViewId="0">
      <selection activeCell="C4" sqref="C4"/>
    </sheetView>
  </sheetViews>
  <sheetFormatPr defaultRowHeight="14.5" x14ac:dyDescent="0.35"/>
  <cols>
    <col min="1" max="1" width="12.36328125" bestFit="1" customWidth="1"/>
    <col min="2" max="2" width="16.81640625" bestFit="1" customWidth="1"/>
    <col min="3" max="3" width="17.90625" customWidth="1"/>
    <col min="4" max="4" width="14.54296875" bestFit="1" customWidth="1"/>
    <col min="5" max="5" width="18.1796875" bestFit="1" customWidth="1"/>
  </cols>
  <sheetData>
    <row r="3" spans="1:4" x14ac:dyDescent="0.35">
      <c r="A3" s="6" t="s">
        <v>1044</v>
      </c>
      <c r="B3" t="s">
        <v>1048</v>
      </c>
      <c r="C3" t="s">
        <v>1045</v>
      </c>
      <c r="D3" t="s">
        <v>1051</v>
      </c>
    </row>
    <row r="4" spans="1:4" x14ac:dyDescent="0.35">
      <c r="A4" s="7" t="s">
        <v>21</v>
      </c>
      <c r="B4">
        <v>501</v>
      </c>
      <c r="C4">
        <v>167882.92499999999</v>
      </c>
      <c r="D4">
        <v>2869</v>
      </c>
    </row>
    <row r="5" spans="1:4" x14ac:dyDescent="0.35">
      <c r="A5" s="7" t="s">
        <v>31</v>
      </c>
      <c r="B5">
        <v>499</v>
      </c>
      <c r="C5">
        <v>155083.82399999999</v>
      </c>
      <c r="D5">
        <v>2641</v>
      </c>
    </row>
    <row r="6" spans="1:4" x14ac:dyDescent="0.35">
      <c r="A6" s="7" t="s">
        <v>1046</v>
      </c>
      <c r="B6">
        <v>1000</v>
      </c>
      <c r="C6">
        <v>322966.74900000001</v>
      </c>
      <c r="D6">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Source Data</vt:lpstr>
      <vt:lpstr>Analysis</vt:lpstr>
      <vt:lpstr>Management Summary</vt:lpstr>
      <vt:lpstr>Dashboard</vt:lpstr>
      <vt:lpstr>Business Insights</vt:lpstr>
      <vt:lpstr>Pivot-Branch</vt:lpstr>
      <vt:lpstr>Pivot-Customer</vt:lpstr>
      <vt:lpstr>Pivot-Product Line </vt:lpstr>
      <vt:lpstr>Pivot-Payment</vt:lpstr>
      <vt:lpstr>Pivot-Gender</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sefunmi joshua</dc:creator>
  <cp:lastModifiedBy>sefunmi joshua</cp:lastModifiedBy>
  <cp:lastPrinted>2026-10-02T15:53:09Z</cp:lastPrinted>
  <dcterms:created xsi:type="dcterms:W3CDTF">2026-09-23T20:56:28Z</dcterms:created>
  <dcterms:modified xsi:type="dcterms:W3CDTF">2026-10-02T18:13:09Z</dcterms:modified>
</cp:coreProperties>
</file>